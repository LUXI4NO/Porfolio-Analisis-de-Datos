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hidePivotFieldList="1" defaultThemeVersion="166925"/>
  <xr:revisionPtr revIDLastSave="0" documentId="8_{E1F7445F-D6B3-49C4-AFB7-D64ECFC23C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Listas" sheetId="2" r:id="rId2"/>
  </sheets>
  <calcPr calcId="191028"/>
  <pivotCaches>
    <pivotCache cacheId="3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" i="1" l="1" a="1"/>
  <c r="AA11" i="1"/>
  <c r="W11" i="1" a="1"/>
  <c r="W11" i="1"/>
  <c r="B109" i="1"/>
  <c r="H109" i="1"/>
  <c r="I109" i="1"/>
  <c r="K109" i="1"/>
  <c r="B110" i="1"/>
  <c r="H110" i="1"/>
  <c r="I110" i="1"/>
  <c r="K110" i="1"/>
  <c r="B111" i="1"/>
  <c r="H111" i="1"/>
  <c r="I111" i="1"/>
  <c r="K111" i="1"/>
  <c r="B108" i="1"/>
  <c r="H108" i="1"/>
  <c r="I108" i="1"/>
  <c r="K10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2" i="1"/>
  <c r="AH35" i="1" s="1"/>
  <c r="H101" i="1"/>
  <c r="H102" i="1"/>
  <c r="H103" i="1"/>
  <c r="H104" i="1"/>
  <c r="H105" i="1"/>
  <c r="H106" i="1"/>
  <c r="H107" i="1"/>
  <c r="I101" i="1"/>
  <c r="I102" i="1"/>
  <c r="I103" i="1"/>
  <c r="I104" i="1"/>
  <c r="I105" i="1"/>
  <c r="I106" i="1"/>
  <c r="I107" i="1"/>
  <c r="K101" i="1"/>
  <c r="K102" i="1"/>
  <c r="K103" i="1"/>
  <c r="K104" i="1"/>
  <c r="K105" i="1"/>
  <c r="K106" i="1"/>
  <c r="K10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2" i="1"/>
  <c r="K2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AH43" i="1" l="1"/>
  <c r="AH42" i="1"/>
  <c r="AH41" i="1"/>
  <c r="AH40" i="1"/>
  <c r="AH39" i="1"/>
  <c r="AH38" i="1"/>
  <c r="AH37" i="1"/>
  <c r="AH36" i="1"/>
  <c r="AH34" i="1"/>
  <c r="AH33" i="1"/>
  <c r="AH32" i="1"/>
  <c r="AH31" i="1"/>
  <c r="AH30" i="1"/>
  <c r="AH29" i="1"/>
  <c r="AH28" i="1"/>
  <c r="AH26" i="1"/>
  <c r="AH27" i="1"/>
  <c r="Y9" i="2"/>
  <c r="Y8" i="2"/>
  <c r="AH22" i="1"/>
  <c r="AH21" i="1"/>
  <c r="AH20" i="1"/>
  <c r="AH19" i="1"/>
  <c r="AH18" i="1"/>
  <c r="AH17" i="1"/>
  <c r="AH16" i="1"/>
  <c r="AH15" i="1"/>
  <c r="AH14" i="1"/>
  <c r="AH13" i="1"/>
  <c r="AH12" i="1"/>
  <c r="AH11" i="1"/>
  <c r="Q20" i="2"/>
  <c r="Q19" i="2"/>
  <c r="Q18" i="2"/>
  <c r="Q17" i="2"/>
  <c r="Q16" i="2"/>
  <c r="Q15" i="2"/>
  <c r="Q14" i="2"/>
  <c r="Q13" i="2"/>
  <c r="Q12" i="2"/>
  <c r="Q11" i="2"/>
  <c r="Q10" i="2"/>
  <c r="Q9" i="2"/>
  <c r="AD13" i="1"/>
  <c r="AC13" i="1"/>
  <c r="AB13" i="1"/>
  <c r="AE13" i="1" s="1"/>
  <c r="AD12" i="1"/>
  <c r="AC12" i="1"/>
  <c r="AB12" i="1"/>
  <c r="AE12" i="1" s="1"/>
  <c r="AD11" i="1"/>
  <c r="AC11" i="1"/>
  <c r="AB11" i="1"/>
  <c r="AE11" i="1" s="1"/>
  <c r="U11" i="1"/>
  <c r="X11" i="1"/>
  <c r="S11" i="1" a="1"/>
  <c r="S11" i="1" s="1"/>
  <c r="X15" i="1"/>
  <c r="Y15" i="1"/>
  <c r="Y14" i="1"/>
  <c r="Y11" i="1"/>
  <c r="Y13" i="1"/>
  <c r="Y12" i="1"/>
  <c r="X12" i="1"/>
  <c r="X13" i="1"/>
  <c r="X14" i="1"/>
  <c r="T11" i="1"/>
  <c r="W4" i="1"/>
  <c r="AA7" i="1"/>
  <c r="W7" i="1"/>
  <c r="U12" i="1"/>
  <c r="U13" i="1"/>
  <c r="U14" i="1"/>
  <c r="T14" i="1"/>
  <c r="T13" i="1"/>
  <c r="T12" i="1"/>
  <c r="S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<sst xmlns="http://schemas.openxmlformats.org/spreadsheetml/2006/main" count="628" uniqueCount="82">
  <si>
    <t>Fecha</t>
  </si>
  <si>
    <t>Mes</t>
  </si>
  <si>
    <t>Id Pedido</t>
  </si>
  <si>
    <t>Canal</t>
  </si>
  <si>
    <t>Vendedor</t>
  </si>
  <si>
    <t>Pago</t>
  </si>
  <si>
    <t>Producto</t>
  </si>
  <si>
    <t>Categoría</t>
  </si>
  <si>
    <t>Precio Unit</t>
  </si>
  <si>
    <t>Cantidad</t>
  </si>
  <si>
    <t>Total</t>
  </si>
  <si>
    <t>mostrador</t>
  </si>
  <si>
    <t>Juan Perez</t>
  </si>
  <si>
    <t>Efectivo</t>
  </si>
  <si>
    <t>Porción Muzza</t>
  </si>
  <si>
    <t>salón</t>
  </si>
  <si>
    <t>Luciano Alvarez</t>
  </si>
  <si>
    <t>Tarjeta</t>
  </si>
  <si>
    <t>Grande de Fugazzeta</t>
  </si>
  <si>
    <t>selecciona el mes:</t>
  </si>
  <si>
    <t>Cantidad de pedidos realizados</t>
  </si>
  <si>
    <t>Delivery</t>
  </si>
  <si>
    <t>Mateo Perez</t>
  </si>
  <si>
    <t>QR</t>
  </si>
  <si>
    <t>Agua Mineral</t>
  </si>
  <si>
    <t>Enero</t>
  </si>
  <si>
    <t>Sol Solis</t>
  </si>
  <si>
    <t>Gaseosa 500ml</t>
  </si>
  <si>
    <t>Santiago Lopez</t>
  </si>
  <si>
    <t>tarjeta</t>
  </si>
  <si>
    <t>Fainá con Verdeo</t>
  </si>
  <si>
    <t>Facturacion</t>
  </si>
  <si>
    <t>Facturacion Total</t>
  </si>
  <si>
    <t>Facturacion Promedio</t>
  </si>
  <si>
    <t>Pizza Calabresa</t>
  </si>
  <si>
    <t>Resumen de Facturacion</t>
  </si>
  <si>
    <t>Eficiencia por Vendedor</t>
  </si>
  <si>
    <t>Ranking de Canales y Pagos</t>
  </si>
  <si>
    <t>Grande de Muzza</t>
  </si>
  <si>
    <t>Categoria</t>
  </si>
  <si>
    <t>cantidades</t>
  </si>
  <si>
    <t>Monto</t>
  </si>
  <si>
    <t>ventas totales</t>
  </si>
  <si>
    <t>Cantidad de Pedidos</t>
  </si>
  <si>
    <t>Meses</t>
  </si>
  <si>
    <t>Facturación Mensual</t>
  </si>
  <si>
    <t>Porción Napolitana</t>
  </si>
  <si>
    <t>Febrero</t>
  </si>
  <si>
    <t>Tiramisú</t>
  </si>
  <si>
    <t>Marzo</t>
  </si>
  <si>
    <t>Cerveza Quilmes 1L</t>
  </si>
  <si>
    <t>Abril</t>
  </si>
  <si>
    <t>Mayo</t>
  </si>
  <si>
    <t>Junio</t>
  </si>
  <si>
    <t>Julio</t>
  </si>
  <si>
    <t>Pizza Jamón y Morrón</t>
  </si>
  <si>
    <t>Agosto</t>
  </si>
  <si>
    <t>Septiembre</t>
  </si>
  <si>
    <t>Octubre</t>
  </si>
  <si>
    <t>Fainá clásica</t>
  </si>
  <si>
    <t>Noviembre</t>
  </si>
  <si>
    <t>Flan con dulce de leche</t>
  </si>
  <si>
    <t>Diciembre</t>
  </si>
  <si>
    <t>Cantidad de Productos vendidos</t>
  </si>
  <si>
    <t>Empanada de Carne</t>
  </si>
  <si>
    <t xml:space="preserve">	Cantidad Vendida</t>
  </si>
  <si>
    <t>efectivo</t>
  </si>
  <si>
    <t>Empanada de Jamón y Queso</t>
  </si>
  <si>
    <t>qr</t>
  </si>
  <si>
    <t>Vino de la casa</t>
  </si>
  <si>
    <t>Budín de pan</t>
  </si>
  <si>
    <t>Porción de Queso y Dulce</t>
  </si>
  <si>
    <t>Precio</t>
  </si>
  <si>
    <t>Pizza</t>
  </si>
  <si>
    <t>pago</t>
  </si>
  <si>
    <t>Etiquetas de fila</t>
  </si>
  <si>
    <t>Promedio de Precio Unit</t>
  </si>
  <si>
    <t>Acompañamientos</t>
  </si>
  <si>
    <t>Bebidas</t>
  </si>
  <si>
    <t>Total general</t>
  </si>
  <si>
    <t>Postres</t>
  </si>
  <si>
    <t>Promedio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</si>
</sst>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$-2C0A]\ #,##0"/>
  </numFmts>
  <fonts count="1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000000"/>
      <name val="Calibri"/>
      <charset val="1"/>
    </font>
    <font>
      <sz val="11"/>
      <color rgb="FF000000"/>
      <name val="Aptos Narrow"/>
      <family val="2"/>
    </font>
    <font>
      <sz val="14"/>
      <color theme="1"/>
      <name val="Kalinga"/>
    </font>
    <font>
      <u/>
      <sz val="11"/>
      <color theme="1"/>
      <name val="Calibri"/>
      <family val="2"/>
      <scheme val="minor"/>
    </font>
    <font>
      <sz val="12"/>
      <color theme="1"/>
      <name val="Kalinga"/>
    </font>
    <font>
      <sz val="11"/>
      <color rgb="FF000000"/>
      <name val="Kalinga"/>
    </font>
    <font>
      <b/>
      <sz val="12"/>
      <color rgb="FF000000"/>
      <name val="Kalinga"/>
    </font>
    <font>
      <sz val="12"/>
      <color rgb="FF000000"/>
      <name val="Kalinga"/>
    </font>
    <font>
      <b/>
      <sz val="12"/>
      <color theme="1"/>
      <name val="Kalinga"/>
    </font>
    <font>
      <u/>
      <sz val="12"/>
      <color theme="1"/>
      <name val="Kalinga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readingOrder="1"/>
    </xf>
    <xf numFmtId="14" fontId="2" fillId="0" borderId="2" xfId="0" applyNumberFormat="1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14" fontId="2" fillId="0" borderId="7" xfId="0" applyNumberFormat="1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3" fillId="0" borderId="0" xfId="0" applyFont="1"/>
    <xf numFmtId="0" fontId="2" fillId="0" borderId="1" xfId="0" applyNumberFormat="1" applyFont="1" applyBorder="1" applyAlignment="1">
      <alignment readingOrder="1"/>
    </xf>
    <xf numFmtId="0" fontId="2" fillId="0" borderId="3" xfId="0" applyNumberFormat="1" applyFont="1" applyBorder="1" applyAlignment="1">
      <alignment readingOrder="1"/>
    </xf>
    <xf numFmtId="0" fontId="4" fillId="0" borderId="0" xfId="0" applyFont="1" applyBorder="1" applyAlignment="1"/>
    <xf numFmtId="14" fontId="2" fillId="0" borderId="2" xfId="0" applyNumberFormat="1" applyFont="1" applyBorder="1" applyAlignment="1">
      <alignment horizontal="center" wrapText="1" readingOrder="1"/>
    </xf>
    <xf numFmtId="0" fontId="6" fillId="0" borderId="0" xfId="0" applyFont="1"/>
    <xf numFmtId="41" fontId="7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 wrapText="1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64" fontId="7" fillId="0" borderId="10" xfId="0" applyNumberFormat="1" applyFont="1" applyBorder="1" applyAlignment="1">
      <alignment horizontal="center" wrapText="1"/>
    </xf>
    <xf numFmtId="0" fontId="7" fillId="0" borderId="0" xfId="0" applyFont="1"/>
    <xf numFmtId="0" fontId="7" fillId="0" borderId="0" xfId="0" applyFont="1" applyAlignment="1"/>
    <xf numFmtId="0" fontId="7" fillId="0" borderId="10" xfId="0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19" formatCode="dd/mm/yyyy"/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19" formatCode="dd/mm/yyyy"/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1F1F1F"/>
        </left>
        <right style="thin">
          <color rgb="FF1F1F1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"/>
                <a:ea typeface="Century"/>
                <a:cs typeface="Century"/>
              </a:defRPr>
            </a:pPr>
            <a:r>
              <a:rPr lang="en-US"/>
              <a:t>Ventas Totales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"/>
              <a:ea typeface="Century"/>
              <a:cs typeface="Century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Hoja1!X10</c:f>
              <c:strCache>
                <c:ptCount val="1"/>
                <c:pt idx="0">
                  <c:v>ventas totales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cat>
            <c:strRef>
              <c:f>Hoja1!$W$11:$W$15</c:f>
              <c:strCache>
                <c:ptCount val="5"/>
                <c:pt idx="0">
                  <c:v>Juan Perez</c:v>
                </c:pt>
                <c:pt idx="1">
                  <c:v>Luciano Alvarez</c:v>
                </c:pt>
                <c:pt idx="2">
                  <c:v>Mateo Perez</c:v>
                </c:pt>
                <c:pt idx="3">
                  <c:v>Sol Solis</c:v>
                </c:pt>
                <c:pt idx="4">
                  <c:v>Santiago Lopez</c:v>
                </c:pt>
              </c:strCache>
            </c:strRef>
          </c:cat>
          <c:val>
            <c:numRef>
              <c:f>Hoja1!$X$11:$X$15</c:f>
              <c:numCache>
                <c:formatCode>_(* #,##0_);_(* \(#,##0\);_(* "-"_);_(@_)</c:formatCode>
                <c:ptCount val="5"/>
                <c:pt idx="0">
                  <c:v>638400</c:v>
                </c:pt>
                <c:pt idx="1">
                  <c:v>221500</c:v>
                </c:pt>
                <c:pt idx="2">
                  <c:v>83800</c:v>
                </c:pt>
                <c:pt idx="3">
                  <c:v>100700</c:v>
                </c:pt>
                <c:pt idx="4">
                  <c:v>101800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E77EE31-FD50-4C01-9AF9-013543DBA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2005077512"/>
        <c:axId val="2005079560"/>
      </c:barChart>
      <c:catAx>
        <c:axId val="200507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"/>
                <a:ea typeface="Century"/>
                <a:cs typeface="Century"/>
              </a:defRPr>
            </a:pPr>
            <a:endParaRPr lang="en-US"/>
          </a:p>
        </c:txPr>
        <c:crossAx val="2005079560"/>
        <c:crosses val="autoZero"/>
        <c:auto val="1"/>
        <c:lblAlgn val="ctr"/>
        <c:lblOffset val="100"/>
        <c:noMultiLvlLbl val="0"/>
      </c:catAx>
      <c:valAx>
        <c:axId val="200507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"/>
                <a:ea typeface="Century"/>
                <a:cs typeface="Century"/>
              </a:defRPr>
            </a:pPr>
            <a:endParaRPr lang="en-US"/>
          </a:p>
        </c:txPr>
        <c:crossAx val="200507751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gal"/>
                <a:ea typeface="Mangal"/>
                <a:cs typeface="Mangal"/>
              </a:defRPr>
            </a:pPr>
            <a:r>
              <a:rPr lang="en-US"/>
              <a:t>Categorias con Cantidades Superiores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gal"/>
              <a:ea typeface="Mangal"/>
              <a:cs typeface="Mang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  <c:pivotFmt>
        <c:idx val="3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331"/>
          </a:solidFill>
          <a:ln>
            <a:noFill/>
          </a:ln>
          <a:effectLst/>
        </c:spPr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  <c:pivotFmt>
        <c:idx val="6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331"/>
          </a:solidFill>
          <a:ln>
            <a:noFill/>
          </a:ln>
          <a:effectLst/>
        </c:spPr>
      </c:pivotFmt>
      <c:pivotFmt>
        <c:idx val="8"/>
        <c:spPr>
          <a:solidFill>
            <a:srgbClr val="ED7331"/>
          </a:solidFill>
          <a:ln>
            <a:noFill/>
          </a:ln>
          <a:effectLst/>
        </c:spPr>
      </c:pivotFmt>
      <c:pivotFmt>
        <c:idx val="9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D7331"/>
          </a:solidFill>
          <a:ln>
            <a:noFill/>
          </a:ln>
          <a:effectLst/>
        </c:spPr>
      </c:pivotFmt>
      <c:pivotFmt>
        <c:idx val="11"/>
        <c:spPr>
          <a:solidFill>
            <a:srgbClr val="ED7331"/>
          </a:solidFill>
          <a:ln>
            <a:noFill/>
          </a:ln>
          <a:effectLst/>
        </c:spPr>
      </c:pivotFmt>
      <c:pivotFmt>
        <c:idx val="1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D7331"/>
          </a:solidFill>
          <a:ln>
            <a:noFill/>
          </a:ln>
          <a:effectLst/>
        </c:spPr>
      </c:pivotFmt>
      <c:pivotFmt>
        <c:idx val="14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DDEBF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1A-4BBB-8648-0A89D9711CEA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1A-4BBB-8648-0A89D9711CEA}"/>
              </c:ext>
            </c:extLst>
          </c:dPt>
          <c:cat>
            <c:strLit>
              <c:ptCount val="4"/>
              <c:pt idx="0">
                <c:v>Pizza</c:v>
              </c:pt>
              <c:pt idx="1">
                <c:v>Acompañamientos</c:v>
              </c:pt>
              <c:pt idx="2">
                <c:v>Bebidas</c:v>
              </c:pt>
              <c:pt idx="3">
                <c:v>Postres</c:v>
              </c:pt>
            </c:strLit>
          </c:cat>
          <c:val>
            <c:numLit>
              <c:formatCode>General</c:formatCode>
              <c:ptCount val="4"/>
              <c:pt idx="0">
                <c:v>33</c:v>
              </c:pt>
              <c:pt idx="1">
                <c:v>32</c:v>
              </c:pt>
              <c:pt idx="2">
                <c:v>10</c:v>
              </c:pt>
              <c:pt idx="3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4-2A1A-4BBB-8648-0A89D9711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307488263"/>
        <c:axId val="1307490311"/>
      </c:barChart>
      <c:catAx>
        <c:axId val="1307488263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gal"/>
                <a:ea typeface="Mangal"/>
                <a:cs typeface="Mangal"/>
              </a:defRPr>
            </a:pPr>
            <a:endParaRPr lang="en-US"/>
          </a:p>
        </c:txPr>
        <c:crossAx val="1307490311"/>
        <c:crosses val="autoZero"/>
        <c:auto val="1"/>
        <c:lblAlgn val="ctr"/>
        <c:lblOffset val="100"/>
        <c:noMultiLvlLbl val="0"/>
      </c:catAx>
      <c:valAx>
        <c:axId val="1307490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gal"/>
                  <a:ea typeface="Mangal"/>
                  <a:cs typeface="Mangal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gal"/>
                <a:ea typeface="Mangal"/>
                <a:cs typeface="Mangal"/>
              </a:defRPr>
            </a:pPr>
            <a:endParaRPr lang="en-US"/>
          </a:p>
        </c:txPr>
        <c:crossAx val="130748826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Metodo de Pago mas Usado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Hoja1!AB10</c:f>
              <c:strCache>
                <c:ptCount val="1"/>
                <c:pt idx="0">
                  <c:v>Efectivo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Hoja1!$AA$11:$AA$13</c:f>
              <c:strCache>
                <c:ptCount val="3"/>
                <c:pt idx="0">
                  <c:v>mostrador</c:v>
                </c:pt>
                <c:pt idx="1">
                  <c:v>salón</c:v>
                </c:pt>
                <c:pt idx="2">
                  <c:v>Delivery</c:v>
                </c:pt>
              </c:strCache>
            </c:strRef>
          </c:cat>
          <c:val>
            <c:numRef>
              <c:f>Hoja1!$AB$11:$AB$13</c:f>
              <c:numCache>
                <c:formatCode>[$$-2C0A]\ #,##0</c:formatCode>
                <c:ptCount val="3"/>
                <c:pt idx="0">
                  <c:v>99600</c:v>
                </c:pt>
                <c:pt idx="1">
                  <c:v>71300</c:v>
                </c:pt>
                <c:pt idx="2">
                  <c:v>60400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D39E6A1-4D0F-4660-87B9-B848403F8C1D}"/>
            </c:ext>
          </c:extLst>
        </c:ser>
        <c:ser>
          <c:idx val="1"/>
          <c:order val="1"/>
          <c:tx>
            <c:strRef>
              <c:f>Hoja1!AC10</c:f>
              <c:strCache>
                <c:ptCount val="1"/>
                <c:pt idx="0">
                  <c:v>Tarjeta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Ref>
              <c:f>Hoja1!$AA$11:$AA$13</c:f>
              <c:strCache>
                <c:ptCount val="3"/>
                <c:pt idx="0">
                  <c:v>mostrador</c:v>
                </c:pt>
                <c:pt idx="1">
                  <c:v>salón</c:v>
                </c:pt>
                <c:pt idx="2">
                  <c:v>Delivery</c:v>
                </c:pt>
              </c:strCache>
            </c:strRef>
          </c:cat>
          <c:val>
            <c:numRef>
              <c:f>Hoja1!$AC$11:$AC$13</c:f>
              <c:numCache>
                <c:formatCode>[$$-2C0A]\ #,##0</c:formatCode>
                <c:ptCount val="3"/>
                <c:pt idx="0">
                  <c:v>101700</c:v>
                </c:pt>
                <c:pt idx="1">
                  <c:v>131000</c:v>
                </c:pt>
                <c:pt idx="2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DA87A45C-B3C6-451E-88C7-CDFCA1A9E2A1}"/>
            </c:ext>
          </c:extLst>
        </c:ser>
        <c:ser>
          <c:idx val="2"/>
          <c:order val="2"/>
          <c:tx>
            <c:strRef>
              <c:f>Hoja1!AD10</c:f>
              <c:strCache>
                <c:ptCount val="1"/>
                <c:pt idx="0">
                  <c:v>QR</c:v>
                </c:pt>
              </c:strCache>
            </c:strRef>
          </c:tx>
          <c:spPr>
            <a:solidFill>
              <a:srgbClr val="D9E1F2"/>
            </a:solidFill>
            <a:ln>
              <a:noFill/>
            </a:ln>
            <a:effectLst/>
          </c:spPr>
          <c:invertIfNegative val="0"/>
          <c:cat>
            <c:strRef>
              <c:f>Hoja1!$AA$11:$AA$13</c:f>
              <c:strCache>
                <c:ptCount val="3"/>
                <c:pt idx="0">
                  <c:v>mostrador</c:v>
                </c:pt>
                <c:pt idx="1">
                  <c:v>salón</c:v>
                </c:pt>
                <c:pt idx="2">
                  <c:v>Delivery</c:v>
                </c:pt>
              </c:strCache>
            </c:strRef>
          </c:cat>
          <c:val>
            <c:numRef>
              <c:f>Hoja1!$AD$11:$AD$13</c:f>
              <c:numCache>
                <c:formatCode>[$$-2C0A]\ #,##0</c:formatCode>
                <c:ptCount val="3"/>
                <c:pt idx="0">
                  <c:v>70000</c:v>
                </c:pt>
                <c:pt idx="1">
                  <c:v>0</c:v>
                </c:pt>
                <c:pt idx="2">
                  <c:v>12400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CF3AD5D1-B7E0-4BF5-8685-CD9D07846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950253576"/>
        <c:axId val="2004313096"/>
      </c:barChart>
      <c:catAx>
        <c:axId val="1950253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313096"/>
        <c:crosses val="autoZero"/>
        <c:auto val="1"/>
        <c:lblAlgn val="ctr"/>
        <c:lblOffset val="100"/>
        <c:noMultiLvlLbl val="0"/>
      </c:catAx>
      <c:valAx>
        <c:axId val="200431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2535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Facturacion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Hoja1!AH10</c:f>
              <c:strCache>
                <c:ptCount val="1"/>
                <c:pt idx="0">
                  <c:v>Facturación Mensual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Hoja1!$AG$11:$AG$22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Hoja1!$AH$11:$AH$22</c:f>
              <c:numCache>
                <c:formatCode>General</c:formatCode>
                <c:ptCount val="12"/>
                <c:pt idx="0">
                  <c:v>638400</c:v>
                </c:pt>
                <c:pt idx="1">
                  <c:v>565200</c:v>
                </c:pt>
                <c:pt idx="2">
                  <c:v>681400</c:v>
                </c:pt>
                <c:pt idx="3">
                  <c:v>623800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EB33DD1-E2CF-476E-B4AF-C26C4ECA6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1976464392"/>
        <c:axId val="1976466440"/>
      </c:barChart>
      <c:catAx>
        <c:axId val="1976464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66440"/>
        <c:crosses val="autoZero"/>
        <c:auto val="1"/>
        <c:lblAlgn val="ctr"/>
        <c:lblOffset val="100"/>
        <c:noMultiLvlLbl val="0"/>
      </c:catAx>
      <c:valAx>
        <c:axId val="197646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Facturación Mensual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6439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Cantidades de 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Hoja1!T10</c:f>
              <c:strCache>
                <c:ptCount val="1"/>
                <c:pt idx="0">
                  <c:v>cantidades</c:v>
                </c:pt>
              </c:strCache>
            </c:strRef>
          </c:tx>
          <c:spPr>
            <a:solidFill>
              <a:srgbClr val="4472C4"/>
            </a:solidFill>
          </c:spPr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CA-4F6F-BCD0-C03793315347}"/>
              </c:ext>
            </c:extLst>
          </c:dPt>
          <c:dPt>
            <c:idx val="1"/>
            <c:bubble3D val="0"/>
            <c:spPr>
              <a:solidFill>
                <a:srgbClr val="8EA9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CA-4F6F-BCD0-C03793315347}"/>
              </c:ext>
            </c:extLst>
          </c:dPt>
          <c:dPt>
            <c:idx val="2"/>
            <c:bubble3D val="0"/>
            <c:spPr>
              <a:solidFill>
                <a:srgbClr val="2037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CA-4F6F-BCD0-C03793315347}"/>
              </c:ext>
            </c:extLst>
          </c:dPt>
          <c:dPt>
            <c:idx val="3"/>
            <c:bubble3D val="0"/>
            <c:spPr>
              <a:solidFill>
                <a:srgbClr val="D9E1F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CA-4F6F-BCD0-C03793315347}"/>
              </c:ext>
            </c:extLst>
          </c:dPt>
          <c:cat>
            <c:strRef>
              <c:f>Hoja1!$S$11:$S$14</c:f>
              <c:strCache>
                <c:ptCount val="4"/>
                <c:pt idx="0">
                  <c:v>Pizza</c:v>
                </c:pt>
                <c:pt idx="1">
                  <c:v>Bebidas</c:v>
                </c:pt>
                <c:pt idx="2">
                  <c:v>Acompañamientos</c:v>
                </c:pt>
                <c:pt idx="3">
                  <c:v>Postres</c:v>
                </c:pt>
              </c:strCache>
            </c:strRef>
          </c:cat>
          <c:val>
            <c:numRef>
              <c:f>Hoja1!$T$11:$T$14</c:f>
              <c:numCache>
                <c:formatCode>General</c:formatCode>
                <c:ptCount val="4"/>
                <c:pt idx="0">
                  <c:v>39</c:v>
                </c:pt>
                <c:pt idx="1">
                  <c:v>20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AC6631EE-359D-42B2-92DA-6CB40586E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vendida de Productos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Hoja1!AH25</c:f>
              <c:strCache>
                <c:ptCount val="1"/>
                <c:pt idx="0">
                  <c:v>	Cantidad Vendida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cat>
            <c:strRef>
              <c:f>Hoja1!$AG$26:$AG$43</c:f>
              <c:strCache>
                <c:ptCount val="18"/>
                <c:pt idx="0">
                  <c:v>Porción Muzza</c:v>
                </c:pt>
                <c:pt idx="1">
                  <c:v>Grande de Muzza</c:v>
                </c:pt>
                <c:pt idx="2">
                  <c:v>Grande de Fugazzeta</c:v>
                </c:pt>
                <c:pt idx="3">
                  <c:v>Porción Napolitana</c:v>
                </c:pt>
                <c:pt idx="4">
                  <c:v>Pizza Calabresa</c:v>
                </c:pt>
                <c:pt idx="5">
                  <c:v>Pizza Jamón y Morrón</c:v>
                </c:pt>
                <c:pt idx="6">
                  <c:v>Fainá clásica</c:v>
                </c:pt>
                <c:pt idx="7">
                  <c:v>Fainá con Verdeo</c:v>
                </c:pt>
                <c:pt idx="8">
                  <c:v>Empanada de Carne</c:v>
                </c:pt>
                <c:pt idx="9">
                  <c:v>Empanada de Jamón y Queso</c:v>
                </c:pt>
                <c:pt idx="10">
                  <c:v>Gaseosa 500ml</c:v>
                </c:pt>
                <c:pt idx="11">
                  <c:v>Cerveza Quilmes 1L</c:v>
                </c:pt>
                <c:pt idx="12">
                  <c:v>Agua Mineral</c:v>
                </c:pt>
                <c:pt idx="13">
                  <c:v>Vino de la casa</c:v>
                </c:pt>
                <c:pt idx="14">
                  <c:v>Flan con dulce de leche</c:v>
                </c:pt>
                <c:pt idx="15">
                  <c:v>Budín de pan</c:v>
                </c:pt>
                <c:pt idx="16">
                  <c:v>Tiramisú</c:v>
                </c:pt>
                <c:pt idx="17">
                  <c:v>Porción de Queso y Dulce</c:v>
                </c:pt>
              </c:strCache>
            </c:strRef>
          </c:cat>
          <c:val>
            <c:numRef>
              <c:f>Hoja1!$AH$26:$AH$43</c:f>
              <c:numCache>
                <c:formatCode>General</c:formatCode>
                <c:ptCount val="18"/>
                <c:pt idx="0">
                  <c:v>10</c:v>
                </c:pt>
                <c:pt idx="1">
                  <c:v>8</c:v>
                </c:pt>
                <c:pt idx="2">
                  <c:v>1</c:v>
                </c:pt>
                <c:pt idx="3">
                  <c:v>4</c:v>
                </c:pt>
                <c:pt idx="4">
                  <c:v>9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0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43398A93-A904-4CF7-8E20-5E93D0EFF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884145160"/>
        <c:axId val="1319074823"/>
      </c:barChart>
      <c:catAx>
        <c:axId val="1884145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074823"/>
        <c:crosses val="autoZero"/>
        <c:auto val="1"/>
        <c:lblAlgn val="ctr"/>
        <c:lblOffset val="100"/>
        <c:noMultiLvlLbl val="0"/>
      </c:catAx>
      <c:valAx>
        <c:axId val="1319074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Vendida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145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9525</xdr:colOff>
      <xdr:row>16</xdr:row>
      <xdr:rowOff>19050</xdr:rowOff>
    </xdr:from>
    <xdr:to>
      <xdr:col>24</xdr:col>
      <xdr:colOff>1733550</xdr:colOff>
      <xdr:row>25</xdr:row>
      <xdr:rowOff>171450</xdr:rowOff>
    </xdr:to>
    <xdr:graphicFrame macro="">
      <xdr:nvGraphicFramePr>
        <xdr:cNvPr id="18" name="Gráfico 17" descr="Tipo de gráfico: Columnas agrupadas. &quot;Ventas Totales&quot;&#10;&#10;Descripción generada automáticamente">
          <a:extLst>
            <a:ext uri="{FF2B5EF4-FFF2-40B4-BE49-F238E27FC236}">
              <a16:creationId xmlns:a16="http://schemas.microsoft.com/office/drawing/2014/main" id="{8F888EC9-6BE5-514F-7235-9688F2B9EE57}"/>
            </a:ext>
            <a:ext uri="{147F2762-F138-4A5C-976F-8EAC2B608ADB}">
              <a16:predDERef xmlns:a16="http://schemas.microsoft.com/office/drawing/2014/main" pred="{602B7B99-EA61-416D-84E6-1224DDE9A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9525</xdr:colOff>
      <xdr:row>16</xdr:row>
      <xdr:rowOff>9525</xdr:rowOff>
    </xdr:from>
    <xdr:to>
      <xdr:col>20</xdr:col>
      <xdr:colOff>1143000</xdr:colOff>
      <xdr:row>25</xdr:row>
      <xdr:rowOff>190500</xdr:rowOff>
    </xdr:to>
    <xdr:graphicFrame macro="">
      <xdr:nvGraphicFramePr>
        <xdr:cNvPr id="19" name="Gráfico 18" descr="Tipo de gráfico: Barras apiladas. &quot;Categoria&quot;: Pizza y Acompañamientos tienen valores de &quot;cantidades&quot; notablemente superiores.&#10;&#10;Descripción generada automáticamente">
          <a:extLst>
            <a:ext uri="{FF2B5EF4-FFF2-40B4-BE49-F238E27FC236}">
              <a16:creationId xmlns:a16="http://schemas.microsoft.com/office/drawing/2014/main" id="{A49F9AD5-26CD-437B-A0B6-4E248CB65C9C}"/>
            </a:ext>
            <a:ext uri="{147F2762-F138-4A5C-976F-8EAC2B608ADB}">
              <a16:predDERef xmlns:a16="http://schemas.microsoft.com/office/drawing/2014/main" pred="{8F888EC9-6BE5-514F-7235-9688F2B9E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9525</xdr:colOff>
      <xdr:row>14</xdr:row>
      <xdr:rowOff>9525</xdr:rowOff>
    </xdr:from>
    <xdr:to>
      <xdr:col>30</xdr:col>
      <xdr:colOff>923925</xdr:colOff>
      <xdr:row>25</xdr:row>
      <xdr:rowOff>200025</xdr:rowOff>
    </xdr:to>
    <xdr:graphicFrame macro="">
      <xdr:nvGraphicFramePr>
        <xdr:cNvPr id="20" name="Gráfico 19" descr="Tipo de gráfico: Columnas agrupadas. &quot;Efectivo&quot;, &quot;Tarjeta&quot;, &quot;QR&quot; por &quot;Canal&quot;&#10;&#10;Descripción generada automáticamente">
          <a:extLst>
            <a:ext uri="{FF2B5EF4-FFF2-40B4-BE49-F238E27FC236}">
              <a16:creationId xmlns:a16="http://schemas.microsoft.com/office/drawing/2014/main" id="{62D99A3E-13C0-1A47-DA9C-D2C0DA52ACAC}"/>
            </a:ext>
            <a:ext uri="{147F2762-F138-4A5C-976F-8EAC2B608ADB}">
              <a16:predDERef xmlns:a16="http://schemas.microsoft.com/office/drawing/2014/main" pred="{A49F9AD5-26CD-437B-A0B6-4E248CB65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133350</xdr:colOff>
      <xdr:row>27</xdr:row>
      <xdr:rowOff>19050</xdr:rowOff>
    </xdr:from>
    <xdr:to>
      <xdr:col>30</xdr:col>
      <xdr:colOff>933450</xdr:colOff>
      <xdr:row>39</xdr:row>
      <xdr:rowOff>209550</xdr:rowOff>
    </xdr:to>
    <xdr:graphicFrame macro="">
      <xdr:nvGraphicFramePr>
        <xdr:cNvPr id="22" name="Gráfico 21" descr="Tipo de gráfico: Barras agrupadas. &quot;Facturación Mensual&quot;&#10;&#10;Descripción generada automáticamente">
          <a:extLst>
            <a:ext uri="{FF2B5EF4-FFF2-40B4-BE49-F238E27FC236}">
              <a16:creationId xmlns:a16="http://schemas.microsoft.com/office/drawing/2014/main" id="{F3D62AF9-F31F-C42F-EE04-F4171EC59A25}"/>
            </a:ext>
            <a:ext uri="{147F2762-F138-4A5C-976F-8EAC2B608ADB}">
              <a16:predDERef xmlns:a16="http://schemas.microsoft.com/office/drawing/2014/main" pred="{62D99A3E-13C0-1A47-DA9C-D2C0DA52A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19050</xdr:colOff>
      <xdr:row>27</xdr:row>
      <xdr:rowOff>9525</xdr:rowOff>
    </xdr:from>
    <xdr:to>
      <xdr:col>20</xdr:col>
      <xdr:colOff>1133475</xdr:colOff>
      <xdr:row>37</xdr:row>
      <xdr:rowOff>209550</xdr:rowOff>
    </xdr:to>
    <xdr:graphicFrame macro="">
      <xdr:nvGraphicFramePr>
        <xdr:cNvPr id="24" name="Gráfico 23" descr="Tipo de gráfico: Circular. &quot;cantidades&quot;&#10;&#10;Descripción generada automáticamente">
          <a:extLst>
            <a:ext uri="{FF2B5EF4-FFF2-40B4-BE49-F238E27FC236}">
              <a16:creationId xmlns:a16="http://schemas.microsoft.com/office/drawing/2014/main" id="{12DF37C0-6FC9-D4D2-8242-0B27A770926C}"/>
            </a:ext>
            <a:ext uri="{147F2762-F138-4A5C-976F-8EAC2B608ADB}">
              <a16:predDERef xmlns:a16="http://schemas.microsoft.com/office/drawing/2014/main" pred="{F3D62AF9-F31F-C42F-EE04-F4171EC59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27</xdr:row>
      <xdr:rowOff>19050</xdr:rowOff>
    </xdr:from>
    <xdr:to>
      <xdr:col>24</xdr:col>
      <xdr:colOff>1743075</xdr:colOff>
      <xdr:row>37</xdr:row>
      <xdr:rowOff>219075</xdr:rowOff>
    </xdr:to>
    <xdr:graphicFrame macro="">
      <xdr:nvGraphicFramePr>
        <xdr:cNvPr id="28" name="Gráfico 27" descr="Tipo de gráfico: Columnas agrupadas. &quot;Cantidad Vendida&quot;&#10;&#10;Descripción generada automáticamente">
          <a:extLst>
            <a:ext uri="{FF2B5EF4-FFF2-40B4-BE49-F238E27FC236}">
              <a16:creationId xmlns:a16="http://schemas.microsoft.com/office/drawing/2014/main" id="{02B7BC88-364E-6FF5-725A-0B75C40D2447}"/>
            </a:ext>
            <a:ext uri="{147F2762-F138-4A5C-976F-8EAC2B608ADB}">
              <a16:predDERef xmlns:a16="http://schemas.microsoft.com/office/drawing/2014/main" pred="{12DF37C0-6FC9-D4D2-8242-0B27A7709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1.740937731483" createdVersion="8" refreshedVersion="8" minRefreshableVersion="3" recordCount="110" xr:uid="{98036D33-F16A-4D91-BDCE-0F08BAE921C5}">
  <cacheSource type="worksheet">
    <worksheetSource name="Tabla5"/>
  </cacheSource>
  <cacheFields count="11">
    <cacheField name="Fecha" numFmtId="14">
      <sharedItems containsSemiMixedTypes="0" containsNonDate="0" containsDate="1" containsString="0" minDate="2026-02-01T00:00:00" maxDate="2026-05-12T00:00:00"/>
    </cacheField>
    <cacheField name="Mes" numFmtId="14">
      <sharedItems/>
    </cacheField>
    <cacheField name="Id Pedido" numFmtId="0">
      <sharedItems containsSemiMixedTypes="0" containsString="0" containsNumber="1" containsInteger="1" minValue="1000" maxValue="1109"/>
    </cacheField>
    <cacheField name="Canal" numFmtId="0">
      <sharedItems/>
    </cacheField>
    <cacheField name="Vendedor" numFmtId="0">
      <sharedItems count="5">
        <s v="Juan Perez"/>
        <s v="Luciano Alvarez"/>
        <s v="Mateo Perez"/>
        <s v="Sol Solis"/>
        <s v="Santiago Lopez"/>
      </sharedItems>
    </cacheField>
    <cacheField name="Pago" numFmtId="0">
      <sharedItems/>
    </cacheField>
    <cacheField name="Producto" numFmtId="0">
      <sharedItems count="15">
        <s v="Porción Muzza"/>
        <s v="Grande de Fugazzeta"/>
        <s v="Agua Mineral"/>
        <s v="Gaseosa 500ml"/>
        <s v="Fainá con Verdeo"/>
        <s v="Pizza Calabresa"/>
        <s v="Grande de Muzza"/>
        <s v="Porción Napolitana"/>
        <s v="Tiramisú"/>
        <s v="Cerveza Quilmes 1L"/>
        <s v="Pizza Jamón y Morrón"/>
        <s v="Fainá clásica"/>
        <s v="Flan con dulce de leche"/>
        <s v="Empanada de Carne"/>
        <s v="Empanada de Jamón y Queso"/>
      </sharedItems>
    </cacheField>
    <cacheField name="Categoría" numFmtId="0">
      <sharedItems/>
    </cacheField>
    <cacheField name="Precio Unit" numFmtId="0">
      <sharedItems containsSemiMixedTypes="0" containsString="0" containsNumber="1" containsInteger="1" minValue="1800" maxValue="22000"/>
    </cacheField>
    <cacheField name="Cantidad" numFmtId="0">
      <sharedItems containsSemiMixedTypes="0" containsString="0" containsNumber="1" minValue="1" maxValue="7"/>
    </cacheField>
    <cacheField name="Total" numFmtId="0">
      <sharedItems containsSemiMixedTypes="0" containsString="0" containsNumber="1" containsInteger="1" minValue="2000" maxValue="12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d v="2026-02-01T00:00:00"/>
    <s v="febrero"/>
    <n v="1000"/>
    <s v="mostrador"/>
    <x v="0"/>
    <s v="Efectivo"/>
    <x v="0"/>
    <s v="Pizza"/>
    <n v="2800"/>
    <n v="2"/>
    <n v="5600"/>
  </r>
  <r>
    <d v="2026-02-01T00:00:00"/>
    <s v="febrero"/>
    <n v="1001"/>
    <s v="salón"/>
    <x v="1"/>
    <s v="Tarjeta"/>
    <x v="1"/>
    <s v="Pizza"/>
    <n v="21000"/>
    <n v="1"/>
    <n v="21000"/>
  </r>
  <r>
    <d v="2026-02-01T00:00:00"/>
    <s v="febrero"/>
    <n v="1002"/>
    <s v="Delivery"/>
    <x v="2"/>
    <s v="QR"/>
    <x v="2"/>
    <s v="Bebidas"/>
    <n v="1800"/>
    <n v="3"/>
    <n v="5400"/>
  </r>
  <r>
    <d v="2026-02-01T00:00:00"/>
    <s v="febrero"/>
    <n v="1003"/>
    <s v="Delivery"/>
    <x v="3"/>
    <s v="Efectivo"/>
    <x v="3"/>
    <s v="Bebidas"/>
    <n v="2500"/>
    <n v="1"/>
    <n v="2500"/>
  </r>
  <r>
    <d v="2026-02-02T00:00:00"/>
    <s v="febrero"/>
    <n v="1004"/>
    <s v="mostrador"/>
    <x v="4"/>
    <s v="Tarjeta"/>
    <x v="4"/>
    <s v="Acompañamientos"/>
    <n v="2400"/>
    <n v="2"/>
    <n v="4800"/>
  </r>
  <r>
    <d v="2026-02-02T00:00:00"/>
    <s v="febrero"/>
    <n v="1005"/>
    <s v="salón"/>
    <x v="0"/>
    <s v="Efectivo"/>
    <x v="0"/>
    <s v="Pizza"/>
    <n v="2800"/>
    <n v="5"/>
    <n v="14000"/>
  </r>
  <r>
    <d v="2026-02-02T00:00:00"/>
    <s v="febrero"/>
    <n v="1006"/>
    <s v="mostrador"/>
    <x v="1"/>
    <s v="QR"/>
    <x v="3"/>
    <s v="Bebidas"/>
    <n v="2500"/>
    <n v="2"/>
    <n v="5000"/>
  </r>
  <r>
    <d v="2026-02-03T00:00:00"/>
    <s v="febrero"/>
    <n v="1007"/>
    <s v="Delivery"/>
    <x v="2"/>
    <s v="Tarjeta"/>
    <x v="5"/>
    <s v="Pizza"/>
    <n v="20000"/>
    <n v="1"/>
    <n v="20000"/>
  </r>
  <r>
    <d v="2026-02-03T00:00:00"/>
    <s v="febrero"/>
    <n v="1008"/>
    <s v="mostrador"/>
    <x v="3"/>
    <s v="QR"/>
    <x v="6"/>
    <s v="Pizza"/>
    <n v="18000"/>
    <n v="2"/>
    <n v="36000"/>
  </r>
  <r>
    <d v="2026-02-03T00:00:00"/>
    <s v="febrero"/>
    <n v="1009"/>
    <s v="mostrador"/>
    <x v="4"/>
    <s v="Efectivo"/>
    <x v="7"/>
    <s v="Pizza"/>
    <n v="3000"/>
    <n v="4"/>
    <n v="12000"/>
  </r>
  <r>
    <d v="2026-02-04T00:00:00"/>
    <s v="febrero"/>
    <n v="1010"/>
    <s v="mostrador"/>
    <x v="0"/>
    <s v="QR"/>
    <x v="3"/>
    <s v="Bebidas"/>
    <n v="2500"/>
    <n v="2"/>
    <n v="5000"/>
  </r>
  <r>
    <d v="2026-02-04T00:00:00"/>
    <s v="febrero"/>
    <n v="1011"/>
    <s v="mostrador"/>
    <x v="1"/>
    <s v="Tarjeta"/>
    <x v="8"/>
    <s v="Postres"/>
    <n v="5500"/>
    <n v="1"/>
    <n v="5500"/>
  </r>
  <r>
    <d v="2026-02-04T00:00:00"/>
    <s v="febrero"/>
    <n v="1012"/>
    <s v="salón"/>
    <x v="2"/>
    <s v="Efectivo"/>
    <x v="9"/>
    <s v="Bebidas"/>
    <n v="4500"/>
    <n v="1"/>
    <n v="4500"/>
  </r>
  <r>
    <d v="2026-02-05T00:00:00"/>
    <s v="febrero"/>
    <n v="1013"/>
    <s v="Delivery"/>
    <x v="3"/>
    <s v="Efectivo"/>
    <x v="0"/>
    <s v="Pizza"/>
    <n v="2800"/>
    <n v="3"/>
    <n v="8400"/>
  </r>
  <r>
    <d v="2026-02-05T00:00:00"/>
    <s v="febrero"/>
    <n v="1014"/>
    <s v="Delivery"/>
    <x v="4"/>
    <s v="QR"/>
    <x v="9"/>
    <s v="Bebidas"/>
    <n v="4500"/>
    <n v="1"/>
    <n v="4500"/>
  </r>
  <r>
    <d v="2026-02-06T00:00:00"/>
    <s v="febrero"/>
    <n v="1015"/>
    <s v="mostrador"/>
    <x v="0"/>
    <s v="Tarjeta"/>
    <x v="5"/>
    <s v="Pizza"/>
    <n v="20000"/>
    <n v="4"/>
    <n v="80000"/>
  </r>
  <r>
    <d v="2026-02-07T00:00:00"/>
    <s v="febrero"/>
    <n v="1016"/>
    <s v="salón"/>
    <x v="1"/>
    <s v="Tarjeta"/>
    <x v="10"/>
    <s v="Pizza"/>
    <n v="22000"/>
    <n v="5"/>
    <n v="110000"/>
  </r>
  <r>
    <d v="2026-02-08T00:00:00"/>
    <s v="febrero"/>
    <n v="1017"/>
    <s v="mostrador"/>
    <x v="2"/>
    <s v="QR"/>
    <x v="9"/>
    <s v="Bebidas"/>
    <n v="4500"/>
    <n v="1"/>
    <n v="4500"/>
  </r>
  <r>
    <d v="2026-02-09T00:00:00"/>
    <s v="febrero"/>
    <n v="1018"/>
    <s v="Delivery"/>
    <x v="3"/>
    <s v="Efectivo"/>
    <x v="6"/>
    <s v="Pizza"/>
    <n v="18000"/>
    <n v="2"/>
    <n v="36000"/>
  </r>
  <r>
    <d v="2026-02-10T00:00:00"/>
    <s v="febrero"/>
    <n v="1019"/>
    <s v="mostrador"/>
    <x v="4"/>
    <s v="Tarjeta"/>
    <x v="11"/>
    <s v="Acompañamientos"/>
    <n v="2000"/>
    <n v="3"/>
    <n v="6000"/>
  </r>
  <r>
    <d v="2026-02-11T00:00:00"/>
    <s v="febrero"/>
    <n v="1020"/>
    <s v="mostrador"/>
    <x v="0"/>
    <s v="QR"/>
    <x v="12"/>
    <s v="Postres"/>
    <n v="3500"/>
    <n v="3"/>
    <n v="10500"/>
  </r>
  <r>
    <d v="2026-02-12T00:00:00"/>
    <s v="febrero"/>
    <n v="1021"/>
    <s v="mostrador"/>
    <x v="1"/>
    <s v="Efectivo"/>
    <x v="5"/>
    <s v="Pizza"/>
    <n v="20000"/>
    <n v="1"/>
    <n v="20000"/>
  </r>
  <r>
    <d v="2026-02-13T00:00:00"/>
    <s v="febrero"/>
    <n v="1022"/>
    <s v="mostrador"/>
    <x v="2"/>
    <s v="Tarjeta"/>
    <x v="2"/>
    <s v="Bebidas"/>
    <n v="1800"/>
    <n v="3"/>
    <n v="5400"/>
  </r>
  <r>
    <d v="2026-02-14T00:00:00"/>
    <s v="febrero"/>
    <n v="1023"/>
    <s v="salón"/>
    <x v="3"/>
    <s v="Efectivo"/>
    <x v="13"/>
    <s v="Acompañamientos"/>
    <n v="2200"/>
    <n v="4"/>
    <n v="8800"/>
  </r>
  <r>
    <d v="2026-02-15T00:00:00"/>
    <s v="febrero"/>
    <n v="1024"/>
    <s v="Delivery"/>
    <x v="4"/>
    <s v="QR"/>
    <x v="3"/>
    <s v="Bebidas"/>
    <n v="2500"/>
    <n v="1"/>
    <n v="2500"/>
  </r>
  <r>
    <d v="2026-02-16T00:00:00"/>
    <s v="febrero"/>
    <n v="1025"/>
    <s v="Delivery"/>
    <x v="0"/>
    <s v="Efectivo"/>
    <x v="9"/>
    <s v="Bebidas"/>
    <n v="4500"/>
    <n v="3"/>
    <n v="13500"/>
  </r>
  <r>
    <d v="2026-02-17T00:00:00"/>
    <s v="febrero"/>
    <n v="1026"/>
    <s v="mostrador"/>
    <x v="1"/>
    <s v="Efectivo"/>
    <x v="5"/>
    <s v="Pizza"/>
    <n v="20000"/>
    <n v="3"/>
    <n v="60000"/>
  </r>
  <r>
    <d v="2026-02-18T00:00:00"/>
    <s v="febrero"/>
    <n v="1027"/>
    <s v="salón"/>
    <x v="2"/>
    <s v="Efectivo"/>
    <x v="10"/>
    <s v="Pizza"/>
    <n v="22000"/>
    <n v="2"/>
    <n v="44000"/>
  </r>
  <r>
    <d v="2026-02-19T00:00:00"/>
    <s v="febrero"/>
    <n v="1028"/>
    <s v="mostrador"/>
    <x v="3"/>
    <s v="QR"/>
    <x v="9"/>
    <s v="Bebidas"/>
    <n v="4500"/>
    <n v="2"/>
    <n v="9000"/>
  </r>
  <r>
    <d v="2026-02-20T00:00:00"/>
    <s v="febrero"/>
    <n v="1029"/>
    <s v="Delivery"/>
    <x v="4"/>
    <s v="Tarjeta"/>
    <x v="6"/>
    <s v="Pizza"/>
    <n v="18000"/>
    <n v="4"/>
    <n v="72000"/>
  </r>
  <r>
    <d v="2026-02-21T00:00:00"/>
    <s v="febrero"/>
    <n v="1030"/>
    <s v="mostrador"/>
    <x v="0"/>
    <s v="Efectivo"/>
    <x v="11"/>
    <s v="Acompañamientos"/>
    <n v="2000"/>
    <n v="1"/>
    <n v="2000"/>
  </r>
  <r>
    <d v="2026-02-22T00:00:00"/>
    <s v="febrero"/>
    <n v="1031"/>
    <s v="mostrador"/>
    <x v="1"/>
    <s v="Efectivo"/>
    <x v="12"/>
    <s v="Postres"/>
    <n v="3500"/>
    <n v="2"/>
    <n v="7000"/>
  </r>
  <r>
    <d v="2026-02-23T00:00:00"/>
    <s v="febrero"/>
    <n v="1032"/>
    <s v="mostrador"/>
    <x v="2"/>
    <s v="QR"/>
    <x v="5"/>
    <s v="Pizza"/>
    <n v="20000"/>
    <n v="3"/>
    <n v="60000"/>
  </r>
  <r>
    <d v="2026-02-24T00:00:00"/>
    <s v="febrero"/>
    <n v="1033"/>
    <s v="mostrador"/>
    <x v="3"/>
    <s v="Tarjeta"/>
    <x v="2"/>
    <s v="Bebidas"/>
    <n v="1800"/>
    <n v="2"/>
    <n v="3600"/>
  </r>
  <r>
    <d v="2026-02-25T00:00:00"/>
    <s v="febrero"/>
    <n v="1034"/>
    <s v="salón"/>
    <x v="4"/>
    <s v="Tarjeta"/>
    <x v="13"/>
    <s v="Acompañamientos"/>
    <n v="2200"/>
    <n v="1"/>
    <n v="2200"/>
  </r>
  <r>
    <d v="2026-02-26T00:00:00"/>
    <s v="febrero"/>
    <n v="1035"/>
    <s v="Delivery"/>
    <x v="0"/>
    <s v="QR"/>
    <x v="3"/>
    <s v="Bebidas"/>
    <n v="2500"/>
    <n v="3"/>
    <n v="7500"/>
  </r>
  <r>
    <d v="2026-02-27T00:00:00"/>
    <s v="febrero"/>
    <n v="1036"/>
    <s v="Delivery"/>
    <x v="1"/>
    <s v="Efectivo"/>
    <x v="9"/>
    <s v="Bebidas"/>
    <n v="4500"/>
    <n v="2"/>
    <n v="9000"/>
  </r>
  <r>
    <d v="2026-02-28T00:00:00"/>
    <s v="febrero"/>
    <n v="1037"/>
    <s v="mostrador"/>
    <x v="2"/>
    <s v="Tarjeta"/>
    <x v="5"/>
    <s v="Pizza"/>
    <n v="20000"/>
    <n v="5"/>
    <n v="100000"/>
  </r>
  <r>
    <d v="2026-03-01T00:00:00"/>
    <s v="marzo"/>
    <n v="1038"/>
    <s v="salón"/>
    <x v="3"/>
    <s v="QR"/>
    <x v="10"/>
    <s v="Pizza"/>
    <n v="22000"/>
    <n v="2"/>
    <n v="44000"/>
  </r>
  <r>
    <d v="2026-03-02T00:00:00"/>
    <s v="marzo"/>
    <n v="1039"/>
    <s v="mostrador"/>
    <x v="4"/>
    <s v="Efectivo"/>
    <x v="9"/>
    <s v="Bebidas"/>
    <n v="4500"/>
    <n v="4"/>
    <n v="18000"/>
  </r>
  <r>
    <d v="2026-03-03T00:00:00"/>
    <s v="marzo"/>
    <n v="1040"/>
    <s v="Delivery"/>
    <x v="0"/>
    <s v="Tarjeta"/>
    <x v="1"/>
    <s v="Pizza"/>
    <n v="21000"/>
    <n v="2"/>
    <n v="42000"/>
  </r>
  <r>
    <d v="2026-03-04T00:00:00"/>
    <s v="marzo"/>
    <n v="1041"/>
    <s v="mostrador"/>
    <x v="1"/>
    <s v="Efectivo"/>
    <x v="6"/>
    <s v="Pizza"/>
    <n v="18000"/>
    <n v="1"/>
    <n v="18000"/>
  </r>
  <r>
    <d v="2026-03-05T00:00:00"/>
    <s v="marzo"/>
    <n v="1042"/>
    <s v="mostrador"/>
    <x v="2"/>
    <s v="QR"/>
    <x v="14"/>
    <s v="Acompañamientos"/>
    <n v="2200"/>
    <n v="2"/>
    <n v="4400"/>
  </r>
  <r>
    <d v="2026-03-06T00:00:00"/>
    <s v="marzo"/>
    <n v="1043"/>
    <s v="mostrador"/>
    <x v="3"/>
    <s v="Tarjeta"/>
    <x v="12"/>
    <s v="Postres"/>
    <n v="3500"/>
    <n v="1"/>
    <n v="3500"/>
  </r>
  <r>
    <d v="2026-03-07T00:00:00"/>
    <s v="marzo"/>
    <n v="1044"/>
    <s v="mostrador"/>
    <x v="4"/>
    <s v="Efectivo"/>
    <x v="4"/>
    <s v="Acompañamientos"/>
    <n v="2400"/>
    <n v="4"/>
    <n v="9600"/>
  </r>
  <r>
    <d v="2026-03-08T00:00:00"/>
    <s v="marzo"/>
    <n v="1045"/>
    <s v="salón"/>
    <x v="0"/>
    <s v="Efectivo"/>
    <x v="14"/>
    <s v="Acompañamientos"/>
    <n v="2200"/>
    <n v="3"/>
    <n v="6600"/>
  </r>
  <r>
    <d v="2026-03-09T00:00:00"/>
    <s v="marzo"/>
    <n v="1046"/>
    <s v="Delivery"/>
    <x v="1"/>
    <s v="QR"/>
    <x v="3"/>
    <s v="Bebidas"/>
    <n v="2500"/>
    <n v="2"/>
    <n v="5000"/>
  </r>
  <r>
    <d v="2026-03-10T00:00:00"/>
    <s v="marzo"/>
    <n v="1047"/>
    <s v="Delivery"/>
    <x v="2"/>
    <s v="Efectivo"/>
    <x v="1"/>
    <s v="Pizza"/>
    <n v="21000"/>
    <n v="2"/>
    <n v="42000"/>
  </r>
  <r>
    <d v="2026-03-11T00:00:00"/>
    <s v="marzo"/>
    <n v="1048"/>
    <s v="mostrador"/>
    <x v="3"/>
    <s v="Tarjeta"/>
    <x v="6"/>
    <s v="Pizza"/>
    <n v="18000"/>
    <n v="3"/>
    <n v="54000"/>
  </r>
  <r>
    <d v="2026-03-12T00:00:00"/>
    <s v="marzo"/>
    <n v="1049"/>
    <s v="salón"/>
    <x v="4"/>
    <s v="Efectivo"/>
    <x v="14"/>
    <s v="Acompañamientos"/>
    <n v="2200"/>
    <n v="1"/>
    <n v="2200"/>
  </r>
  <r>
    <d v="2026-03-13T00:00:00"/>
    <s v="marzo"/>
    <n v="1050"/>
    <s v="mostrador"/>
    <x v="0"/>
    <s v="QR"/>
    <x v="12"/>
    <s v="Postres"/>
    <n v="3500"/>
    <n v="3"/>
    <n v="10500"/>
  </r>
  <r>
    <d v="2026-03-14T00:00:00"/>
    <s v="marzo"/>
    <n v="1051"/>
    <s v="Delivery"/>
    <x v="1"/>
    <s v="Tarjeta"/>
    <x v="4"/>
    <s v="Acompañamientos"/>
    <n v="2400"/>
    <n v="6"/>
    <n v="14400"/>
  </r>
  <r>
    <d v="2026-03-15T00:00:00"/>
    <s v="marzo"/>
    <n v="1052"/>
    <s v="mostrador"/>
    <x v="2"/>
    <s v="Efectivo"/>
    <x v="14"/>
    <s v="Acompañamientos"/>
    <n v="2200"/>
    <n v="3"/>
    <n v="6600"/>
  </r>
  <r>
    <d v="2026-03-16T00:00:00"/>
    <s v="marzo"/>
    <n v="1053"/>
    <s v="mostrador"/>
    <x v="3"/>
    <s v="Efectivo"/>
    <x v="3"/>
    <s v="Bebidas"/>
    <n v="2500"/>
    <n v="2"/>
    <n v="5000"/>
  </r>
  <r>
    <d v="2026-03-17T00:00:00"/>
    <s v="marzo"/>
    <n v="1054"/>
    <s v="mostrador"/>
    <x v="4"/>
    <s v="QR"/>
    <x v="1"/>
    <s v="Pizza"/>
    <n v="21000"/>
    <n v="1"/>
    <n v="21000"/>
  </r>
  <r>
    <d v="2026-03-18T00:00:00"/>
    <s v="marzo"/>
    <n v="1055"/>
    <s v="mostrador"/>
    <x v="0"/>
    <s v="Efectivo"/>
    <x v="6"/>
    <s v="Pizza"/>
    <n v="18000"/>
    <n v="3"/>
    <n v="54000"/>
  </r>
  <r>
    <d v="2026-03-19T00:00:00"/>
    <s v="marzo"/>
    <n v="1056"/>
    <s v="salón"/>
    <x v="1"/>
    <s v="Tarjeta"/>
    <x v="14"/>
    <s v="Acompañamientos"/>
    <n v="2200"/>
    <n v="2"/>
    <n v="4400"/>
  </r>
  <r>
    <d v="2026-03-20T00:00:00"/>
    <s v="marzo"/>
    <n v="1057"/>
    <s v="Delivery"/>
    <x v="2"/>
    <s v="Efectivo"/>
    <x v="12"/>
    <s v="Postres"/>
    <n v="3500"/>
    <n v="1"/>
    <n v="3500"/>
  </r>
  <r>
    <d v="2026-03-21T00:00:00"/>
    <s v="marzo"/>
    <n v="1058"/>
    <s v="Delivery"/>
    <x v="3"/>
    <s v="QR"/>
    <x v="4"/>
    <s v="Acompañamientos"/>
    <n v="2400"/>
    <n v="3"/>
    <n v="7200"/>
  </r>
  <r>
    <d v="2026-03-22T00:00:00"/>
    <s v="marzo"/>
    <n v="1059"/>
    <s v="mostrador"/>
    <x v="4"/>
    <s v="Tarjeta"/>
    <x v="14"/>
    <s v="Acompañamientos"/>
    <n v="2200"/>
    <n v="2"/>
    <n v="4400"/>
  </r>
  <r>
    <d v="2026-03-23T00:00:00"/>
    <s v="marzo"/>
    <n v="1060"/>
    <s v="salón"/>
    <x v="0"/>
    <s v="Efectivo"/>
    <x v="3"/>
    <s v="Bebidas"/>
    <n v="2500"/>
    <n v="1"/>
    <n v="2500"/>
  </r>
  <r>
    <d v="2026-03-24T00:00:00"/>
    <s v="marzo"/>
    <n v="1061"/>
    <s v="mostrador"/>
    <x v="1"/>
    <s v="Efectivo"/>
    <x v="1"/>
    <s v="Pizza"/>
    <n v="21000"/>
    <n v="3"/>
    <n v="63000"/>
  </r>
  <r>
    <d v="2026-03-25T00:00:00"/>
    <s v="marzo"/>
    <n v="1062"/>
    <s v="Delivery"/>
    <x v="2"/>
    <s v="QR"/>
    <x v="6"/>
    <s v="Pizza"/>
    <n v="18000"/>
    <n v="4"/>
    <n v="72000"/>
  </r>
  <r>
    <d v="2026-03-26T00:00:00"/>
    <s v="marzo"/>
    <n v="1063"/>
    <s v="mostrador"/>
    <x v="3"/>
    <s v="Efectivo"/>
    <x v="14"/>
    <s v="Acompañamientos"/>
    <n v="2200"/>
    <n v="3"/>
    <n v="6600"/>
  </r>
  <r>
    <d v="2026-03-27T00:00:00"/>
    <s v="marzo"/>
    <n v="1064"/>
    <s v="mostrador"/>
    <x v="4"/>
    <s v="Tarjeta"/>
    <x v="12"/>
    <s v="Postres"/>
    <n v="3500"/>
    <n v="3"/>
    <n v="10500"/>
  </r>
  <r>
    <d v="2026-03-28T00:00:00"/>
    <s v="marzo"/>
    <n v="1065"/>
    <s v="mostrador"/>
    <x v="0"/>
    <s v="Efectivo"/>
    <x v="4"/>
    <s v="Acompañamientos"/>
    <n v="2400"/>
    <n v="2"/>
    <n v="4800"/>
  </r>
  <r>
    <d v="2026-03-29T00:00:00"/>
    <s v="marzo"/>
    <n v="1066"/>
    <s v="mostrador"/>
    <x v="1"/>
    <s v="QR"/>
    <x v="14"/>
    <s v="Acompañamientos"/>
    <n v="2200"/>
    <n v="2"/>
    <n v="4400"/>
  </r>
  <r>
    <d v="2026-03-30T00:00:00"/>
    <s v="marzo"/>
    <n v="1067"/>
    <s v="salón"/>
    <x v="2"/>
    <s v="Tarjeta"/>
    <x v="3"/>
    <s v="Bebidas"/>
    <n v="2500"/>
    <n v="3"/>
    <n v="7500"/>
  </r>
  <r>
    <d v="2026-03-31T00:00:00"/>
    <s v="marzo"/>
    <n v="1068"/>
    <s v="Delivery"/>
    <x v="3"/>
    <s v="Efectivo"/>
    <x v="1"/>
    <s v="Pizza"/>
    <n v="21000"/>
    <n v="4"/>
    <n v="84000"/>
  </r>
  <r>
    <d v="2026-04-01T00:00:00"/>
    <s v="abril"/>
    <n v="1069"/>
    <s v="Delivery"/>
    <x v="4"/>
    <s v="QR"/>
    <x v="6"/>
    <s v="Pizza"/>
    <n v="18000"/>
    <n v="2"/>
    <n v="36000"/>
  </r>
  <r>
    <d v="2026-04-02T00:00:00"/>
    <s v="abril"/>
    <n v="1070"/>
    <s v="mostrador"/>
    <x v="0"/>
    <s v="Tarjeta"/>
    <x v="14"/>
    <s v="Acompañamientos"/>
    <n v="2200"/>
    <n v="2"/>
    <n v="4400"/>
  </r>
  <r>
    <d v="2026-04-03T00:00:00"/>
    <s v="abril"/>
    <n v="1071"/>
    <s v="salón"/>
    <x v="1"/>
    <s v="Efectivo"/>
    <x v="12"/>
    <s v="Postres"/>
    <n v="3500"/>
    <n v="2"/>
    <n v="7000"/>
  </r>
  <r>
    <d v="2026-04-04T00:00:00"/>
    <s v="abril"/>
    <n v="1072"/>
    <s v="mostrador"/>
    <x v="2"/>
    <s v="QR"/>
    <x v="4"/>
    <s v="Acompañamientos"/>
    <n v="2400"/>
    <n v="2"/>
    <n v="4800"/>
  </r>
  <r>
    <d v="2026-04-05T00:00:00"/>
    <s v="abril"/>
    <n v="1073"/>
    <s v="Delivery"/>
    <x v="3"/>
    <s v="Tarjeta"/>
    <x v="14"/>
    <s v="Acompañamientos"/>
    <n v="2200"/>
    <n v="2"/>
    <n v="4400"/>
  </r>
  <r>
    <d v="2026-04-06T00:00:00"/>
    <s v="abril"/>
    <n v="1074"/>
    <s v="mostrador"/>
    <x v="4"/>
    <s v="Efectivo"/>
    <x v="3"/>
    <s v="Bebidas"/>
    <n v="2500"/>
    <n v="3"/>
    <n v="7500"/>
  </r>
  <r>
    <d v="2026-04-07T00:00:00"/>
    <s v="abril"/>
    <n v="1075"/>
    <s v="mostrador"/>
    <x v="0"/>
    <s v="QR"/>
    <x v="1"/>
    <s v="Pizza"/>
    <n v="21000"/>
    <n v="3"/>
    <n v="63000"/>
  </r>
  <r>
    <d v="2026-04-08T00:00:00"/>
    <s v="abril"/>
    <n v="1076"/>
    <s v="mostrador"/>
    <x v="1"/>
    <s v="Tarjeta"/>
    <x v="6"/>
    <s v="Pizza"/>
    <n v="18000"/>
    <n v="2"/>
    <n v="36000"/>
  </r>
  <r>
    <d v="2026-04-09T00:00:00"/>
    <s v="abril"/>
    <n v="1077"/>
    <s v="mostrador"/>
    <x v="2"/>
    <s v="Efectivo"/>
    <x v="14"/>
    <s v="Acompañamientos"/>
    <n v="2200"/>
    <n v="2"/>
    <n v="4400"/>
  </r>
  <r>
    <d v="2026-04-10T00:00:00"/>
    <s v="abril"/>
    <n v="1078"/>
    <s v="salón"/>
    <x v="3"/>
    <s v="QR"/>
    <x v="12"/>
    <s v="Postres"/>
    <n v="3500"/>
    <n v="2"/>
    <n v="7000"/>
  </r>
  <r>
    <d v="2026-04-11T00:00:00"/>
    <s v="abril"/>
    <n v="1079"/>
    <s v="Delivery"/>
    <x v="4"/>
    <s v="Tarjeta"/>
    <x v="4"/>
    <s v="Acompañamientos"/>
    <n v="2400"/>
    <n v="2"/>
    <n v="4800"/>
  </r>
  <r>
    <d v="2026-04-12T00:00:00"/>
    <s v="abril"/>
    <n v="1080"/>
    <s v="Delivery"/>
    <x v="0"/>
    <s v="Efectivo"/>
    <x v="14"/>
    <s v="Acompañamientos"/>
    <n v="2200"/>
    <n v="2"/>
    <n v="4400"/>
  </r>
  <r>
    <d v="2026-04-13T00:00:00"/>
    <s v="abril"/>
    <n v="1081"/>
    <s v="mostrador"/>
    <x v="1"/>
    <s v="QR"/>
    <x v="3"/>
    <s v="Bebidas"/>
    <n v="2500"/>
    <n v="2"/>
    <n v="5000"/>
  </r>
  <r>
    <d v="2026-04-14T00:00:00"/>
    <s v="abril"/>
    <n v="1082"/>
    <s v="salón"/>
    <x v="2"/>
    <s v="Tarjeta"/>
    <x v="1"/>
    <s v="Pizza"/>
    <n v="21000"/>
    <n v="2"/>
    <n v="42000"/>
  </r>
  <r>
    <d v="2026-04-15T00:00:00"/>
    <s v="abril"/>
    <n v="1083"/>
    <s v="mostrador"/>
    <x v="3"/>
    <s v="Efectivo"/>
    <x v="6"/>
    <s v="Pizza"/>
    <n v="18000"/>
    <n v="2"/>
    <n v="36000"/>
  </r>
  <r>
    <d v="2026-04-16T00:00:00"/>
    <s v="abril"/>
    <n v="1084"/>
    <s v="Delivery"/>
    <x v="4"/>
    <s v="QR"/>
    <x v="14"/>
    <s v="Acompañamientos"/>
    <n v="2200"/>
    <n v="2"/>
    <n v="4400"/>
  </r>
  <r>
    <d v="2026-04-17T00:00:00"/>
    <s v="abril"/>
    <n v="1085"/>
    <s v="mostrador"/>
    <x v="0"/>
    <s v="Tarjeta"/>
    <x v="12"/>
    <s v="Postres"/>
    <n v="3500"/>
    <n v="1"/>
    <n v="3500"/>
  </r>
  <r>
    <d v="2026-04-18T00:00:00"/>
    <s v="abril"/>
    <n v="1086"/>
    <s v="mostrador"/>
    <x v="1"/>
    <s v="Efectivo"/>
    <x v="4"/>
    <s v="Acompañamientos"/>
    <n v="2400"/>
    <n v="2"/>
    <n v="4800"/>
  </r>
  <r>
    <d v="2026-04-19T00:00:00"/>
    <s v="abril"/>
    <n v="1087"/>
    <s v="mostrador"/>
    <x v="2"/>
    <s v="QR"/>
    <x v="14"/>
    <s v="Acompañamientos"/>
    <n v="2200"/>
    <n v="4"/>
    <n v="8800"/>
  </r>
  <r>
    <d v="2026-04-20T00:00:00"/>
    <s v="abril"/>
    <n v="1088"/>
    <s v="mostrador"/>
    <x v="3"/>
    <s v="Tarjeta"/>
    <x v="3"/>
    <s v="Bebidas"/>
    <n v="2500"/>
    <n v="3"/>
    <n v="7500"/>
  </r>
  <r>
    <d v="2026-04-21T00:00:00"/>
    <s v="abril"/>
    <n v="1089"/>
    <s v="salón"/>
    <x v="4"/>
    <s v="Efectivo"/>
    <x v="1"/>
    <s v="Pizza"/>
    <n v="21000"/>
    <n v="6"/>
    <n v="126000"/>
  </r>
  <r>
    <d v="2026-04-22T00:00:00"/>
    <s v="abril"/>
    <n v="1090"/>
    <s v="Delivery"/>
    <x v="0"/>
    <s v="QR"/>
    <x v="6"/>
    <s v="Pizza"/>
    <n v="18000"/>
    <n v="7"/>
    <n v="126000"/>
  </r>
  <r>
    <d v="2026-04-23T00:00:00"/>
    <s v="abril"/>
    <n v="1091"/>
    <s v="Delivery"/>
    <x v="1"/>
    <s v="Tarjeta"/>
    <x v="14"/>
    <s v="Acompañamientos"/>
    <n v="2200"/>
    <n v="6"/>
    <n v="13200"/>
  </r>
  <r>
    <d v="2026-04-24T00:00:00"/>
    <s v="abril"/>
    <n v="1092"/>
    <s v="mostrador"/>
    <x v="2"/>
    <s v="Efectivo"/>
    <x v="12"/>
    <s v="Postres"/>
    <n v="3500"/>
    <n v="2"/>
    <n v="7000"/>
  </r>
  <r>
    <d v="2026-04-25T00:00:00"/>
    <s v="abril"/>
    <n v="1093"/>
    <s v="salón"/>
    <x v="3"/>
    <s v="QR"/>
    <x v="4"/>
    <s v="Acompañamientos"/>
    <n v="2400"/>
    <n v="1"/>
    <n v="2400"/>
  </r>
  <r>
    <d v="2026-04-26T00:00:00"/>
    <s v="abril"/>
    <n v="1094"/>
    <s v="mostrador"/>
    <x v="4"/>
    <s v="Tarjeta"/>
    <x v="14"/>
    <s v="Acompañamientos"/>
    <n v="2200"/>
    <n v="3"/>
    <n v="6600"/>
  </r>
  <r>
    <d v="2026-04-27T00:00:00"/>
    <s v="abril"/>
    <n v="1095"/>
    <s v="Delivery"/>
    <x v="0"/>
    <s v="Efectivo"/>
    <x v="3"/>
    <s v="Bebidas"/>
    <n v="2500"/>
    <n v="2"/>
    <n v="5000"/>
  </r>
  <r>
    <d v="2026-04-28T00:00:00"/>
    <s v="abril"/>
    <n v="1096"/>
    <s v="mostrador"/>
    <x v="1"/>
    <s v="QR"/>
    <x v="1"/>
    <s v="Pizza"/>
    <n v="21000"/>
    <n v="4"/>
    <n v="84000"/>
  </r>
  <r>
    <d v="2026-04-29T00:00:00"/>
    <s v="abril"/>
    <n v="1097"/>
    <s v="mostrador"/>
    <x v="2"/>
    <s v="Tarjeta"/>
    <x v="6"/>
    <s v="Pizza"/>
    <n v="18000"/>
    <n v="5"/>
    <n v="90000"/>
  </r>
  <r>
    <d v="2026-04-30T00:00:00"/>
    <s v="abril"/>
    <n v="1098"/>
    <s v="mostrador"/>
    <x v="3"/>
    <s v="Efectivo"/>
    <x v="14"/>
    <s v="Acompañamientos"/>
    <n v="2200"/>
    <n v="2"/>
    <n v="4400"/>
  </r>
  <r>
    <d v="2026-05-01T00:00:00"/>
    <s v="mayo"/>
    <n v="1099"/>
    <s v="mostrador"/>
    <x v="4"/>
    <s v="Efectivo"/>
    <x v="12"/>
    <s v="Postres"/>
    <n v="3500"/>
    <n v="1"/>
    <n v="3500"/>
  </r>
  <r>
    <d v="2026-05-02T00:00:00"/>
    <s v="mayo"/>
    <n v="1100"/>
    <s v="salón"/>
    <x v="0"/>
    <s v="QR"/>
    <x v="4"/>
    <s v="Acompañamientos"/>
    <n v="2400"/>
    <n v="3"/>
    <n v="7200"/>
  </r>
  <r>
    <d v="2026-05-03T00:00:00"/>
    <s v="mayo"/>
    <n v="1101"/>
    <s v="Delivery"/>
    <x v="1"/>
    <s v="Tarjeta"/>
    <x v="14"/>
    <s v="Acompañamientos"/>
    <n v="2200"/>
    <n v="4"/>
    <n v="8800"/>
  </r>
  <r>
    <d v="2026-05-04T00:00:00"/>
    <s v="mayo"/>
    <n v="1102"/>
    <s v="Delivery"/>
    <x v="2"/>
    <s v="Efectivo"/>
    <x v="3"/>
    <s v="Bebidas"/>
    <n v="2500"/>
    <n v="3"/>
    <n v="7500"/>
  </r>
  <r>
    <d v="2026-05-05T00:00:00"/>
    <s v="mayo"/>
    <n v="1103"/>
    <s v="mostrador"/>
    <x v="3"/>
    <s v="QR"/>
    <x v="1"/>
    <s v="Pizza"/>
    <n v="21000"/>
    <n v="5"/>
    <n v="105000"/>
  </r>
  <r>
    <d v="2026-05-06T00:00:00"/>
    <s v="mayo"/>
    <n v="1104"/>
    <s v="salón"/>
    <x v="4"/>
    <s v="Tarjeta"/>
    <x v="6"/>
    <s v="Pizza"/>
    <n v="18000"/>
    <n v="2"/>
    <n v="36000"/>
  </r>
  <r>
    <d v="2026-05-07T00:00:00"/>
    <s v="mayo"/>
    <n v="1105"/>
    <s v="mostrador"/>
    <x v="0"/>
    <s v="Efectivo"/>
    <x v="14"/>
    <s v="Acompañamientos"/>
    <n v="2200"/>
    <n v="3"/>
    <n v="6600"/>
  </r>
  <r>
    <d v="2026-05-08T00:00:00"/>
    <s v="mayo"/>
    <n v="1106"/>
    <s v="Delivery"/>
    <x v="2"/>
    <s v="Tarjeta"/>
    <x v="14"/>
    <s v="Acompañamientos"/>
    <n v="2200"/>
    <n v="3"/>
    <n v="6600"/>
  </r>
  <r>
    <d v="2026-05-09T00:00:00"/>
    <s v="mayo"/>
    <n v="1107"/>
    <s v="mostrador"/>
    <x v="2"/>
    <s v="Efectivo"/>
    <x v="3"/>
    <s v="Bebidas"/>
    <n v="2500"/>
    <n v="2.6"/>
    <n v="6500"/>
  </r>
  <r>
    <d v="2026-05-10T00:00:00"/>
    <s v="mayo"/>
    <n v="1108"/>
    <s v="mostrador"/>
    <x v="3"/>
    <s v="QR"/>
    <x v="1"/>
    <s v="Pizza"/>
    <n v="21000"/>
    <n v="2.4"/>
    <n v="50400"/>
  </r>
  <r>
    <d v="2026-05-11T00:00:00"/>
    <s v="mayo"/>
    <n v="1109"/>
    <s v="mostrador"/>
    <x v="4"/>
    <s v="Tarjeta"/>
    <x v="6"/>
    <s v="Pizza"/>
    <n v="18000"/>
    <n v="2.2000000000000002"/>
    <n v="39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57922-E6CE-4AFD-A1F0-A6C1F94A49E6}" name="TablaDinámica1" cacheId="3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S7:T13" firstHeaderRow="1" firstDataRow="1" firstDataCol="1"/>
  <pivotFields count="11">
    <pivotField numFmtId="14" showAll="0"/>
    <pivotField showAll="0"/>
    <pivotField showAll="0"/>
    <pivotField showAll="0"/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Promedio de Precio Unit" fld="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74204-1805-4389-B7EC-348A7EE01580}" name="TablaDinámica2" cacheId="3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S16:T32" firstHeaderRow="1" firstDataRow="1" firstDataCol="1"/>
  <pivotFields count="11"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16">
        <item x="2"/>
        <item x="9"/>
        <item x="13"/>
        <item x="14"/>
        <item x="11"/>
        <item x="4"/>
        <item x="12"/>
        <item x="3"/>
        <item x="1"/>
        <item x="6"/>
        <item x="5"/>
        <item x="10"/>
        <item x="0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6"/>
  </rowFields>
  <rowItems count="16">
    <i>
      <x v="13"/>
    </i>
    <i>
      <x v="12"/>
    </i>
    <i>
      <x v="11"/>
    </i>
    <i>
      <x v="8"/>
    </i>
    <i>
      <x v="9"/>
    </i>
    <i>
      <x v="10"/>
    </i>
    <i>
      <x v="5"/>
    </i>
    <i>
      <x/>
    </i>
    <i>
      <x v="3"/>
    </i>
    <i>
      <x v="2"/>
    </i>
    <i>
      <x v="7"/>
    </i>
    <i>
      <x v="1"/>
    </i>
    <i>
      <x v="4"/>
    </i>
    <i>
      <x v="6"/>
    </i>
    <i>
      <x v="14"/>
    </i>
    <i t="grand">
      <x/>
    </i>
  </rowItems>
  <colItems count="1">
    <i/>
  </colItems>
  <dataFields count="1">
    <dataField name="Promedio de Cantidad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C0C522-0E08-4CFF-B78E-85579E985618}" name="Tabla5" displayName="Tabla5" ref="A1:K111" totalsRowShown="0" headerRowDxfId="15" dataDxfId="14" headerRowBorderDxfId="12" tableBorderDxfId="13" totalsRowBorderDxfId="11">
  <autoFilter ref="A1:K111" xr:uid="{E6C0C522-0E08-4CFF-B78E-85579E985618}"/>
  <tableColumns count="11">
    <tableColumn id="1" xr3:uid="{56A7F883-748D-4C2B-AC8B-05200C48AA1D}" name="Fecha" dataDxfId="10"/>
    <tableColumn id="11" xr3:uid="{934682CB-C6B6-468F-BAD8-55FFA8720818}" name="Mes" dataDxfId="9">
      <calculatedColumnFormula>TEXT(Tabla5[[#This Row],[Fecha]],"MMMM")</calculatedColumnFormula>
    </tableColumn>
    <tableColumn id="2" xr3:uid="{114B7546-FD18-4B83-9342-A7C236EBCE4A}" name="Id Pedido" dataDxfId="8">
      <calculatedColumnFormula>RANDBETWEEN(1000, 9999)</calculatedColumnFormula>
    </tableColumn>
    <tableColumn id="3" xr3:uid="{B8F3A95B-64E8-4378-A843-B1AA217F1B3F}" name="Canal" dataDxfId="7"/>
    <tableColumn id="4" xr3:uid="{86DD1B04-C45D-48BB-8690-A9888F9B17F1}" name="Vendedor" dataDxfId="6"/>
    <tableColumn id="5" xr3:uid="{164BD406-8765-497C-9F36-4456F1162BE3}" name="Pago" dataDxfId="5"/>
    <tableColumn id="6" xr3:uid="{EA8D2FE7-F066-426B-B8C4-423222CC81A2}" name="Producto" dataDxfId="4"/>
    <tableColumn id="7" xr3:uid="{29F81782-B23F-4399-A339-DDCC93393CA4}" name="Categoría" dataDxfId="3">
      <calculatedColumnFormula>VLOOKUP(G2, Listas!G:H, 2, FALSE)</calculatedColumnFormula>
    </tableColumn>
    <tableColumn id="8" xr3:uid="{A91A9143-686A-4338-AA9D-2F68FF0AF88D}" name="Precio Unit" dataDxfId="2">
      <calculatedColumnFormula>VLOOKUP(G2, Listas!G:I, 3, FALSE)</calculatedColumnFormula>
    </tableColumn>
    <tableColumn id="9" xr3:uid="{F9C7B453-B030-4526-B660-7CAE220D22BA}" name="Cantidad" dataDxfId="1"/>
    <tableColumn id="10" xr3:uid="{4F00A048-9B4B-4889-8512-58E2464B0C14}" name="Total" dataDxfId="0">
      <calculatedColumnFormula>I2*J2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4"/>
  <sheetViews>
    <sheetView tabSelected="1" workbookViewId="0">
      <selection activeCell="W17" sqref="W17"/>
    </sheetView>
  </sheetViews>
  <sheetFormatPr defaultRowHeight="15"/>
  <cols>
    <col min="1" max="1" width="11.7109375" bestFit="1" customWidth="1"/>
    <col min="2" max="2" width="11.7109375" customWidth="1"/>
    <col min="3" max="3" width="12.85546875" bestFit="1" customWidth="1"/>
    <col min="4" max="4" width="10.7109375" bestFit="1" customWidth="1"/>
    <col min="5" max="5" width="19.5703125" bestFit="1" customWidth="1"/>
    <col min="7" max="7" width="28.85546875" bestFit="1" customWidth="1"/>
    <col min="8" max="8" width="17.7109375" bestFit="1" customWidth="1"/>
    <col min="9" max="9" width="14.28515625" bestFit="1" customWidth="1"/>
    <col min="10" max="10" width="12.140625" bestFit="1" customWidth="1"/>
    <col min="12" max="12" width="4.85546875" customWidth="1"/>
    <col min="13" max="13" width="5.85546875" customWidth="1"/>
    <col min="14" max="14" width="4.85546875" customWidth="1"/>
    <col min="15" max="15" width="4.5703125" customWidth="1"/>
    <col min="16" max="16" width="4" customWidth="1"/>
    <col min="17" max="17" width="4.7109375" customWidth="1"/>
    <col min="18" max="18" width="1.28515625" customWidth="1"/>
    <col min="19" max="19" width="26" customWidth="1"/>
    <col min="20" max="20" width="17.7109375" customWidth="1"/>
    <col min="21" max="21" width="17.42578125" customWidth="1"/>
    <col min="22" max="22" width="2.42578125" customWidth="1"/>
    <col min="23" max="23" width="18.85546875" customWidth="1"/>
    <col min="24" max="24" width="31.28515625" customWidth="1"/>
    <col min="25" max="25" width="26.5703125" customWidth="1"/>
    <col min="26" max="26" width="2.140625" customWidth="1"/>
    <col min="27" max="27" width="15" bestFit="1" customWidth="1"/>
    <col min="28" max="28" width="14.42578125" bestFit="1" customWidth="1"/>
    <col min="29" max="29" width="12.5703125" customWidth="1"/>
    <col min="30" max="30" width="9.28515625" customWidth="1"/>
    <col min="31" max="31" width="14.42578125" bestFit="1" customWidth="1"/>
    <col min="32" max="32" width="2.42578125" customWidth="1"/>
    <col min="33" max="33" width="37.85546875" customWidth="1"/>
    <col min="34" max="34" width="28.85546875" customWidth="1"/>
  </cols>
  <sheetData>
    <row r="1" spans="1:34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34" ht="21.75" customHeight="1">
      <c r="A2" s="2">
        <v>46023</v>
      </c>
      <c r="B2" s="14" t="str">
        <f>TEXT(Tabla5[[#This Row],[Fecha]],"MMMM")</f>
        <v>enero</v>
      </c>
      <c r="C2" s="1">
        <v>1000</v>
      </c>
      <c r="D2" s="1" t="s">
        <v>11</v>
      </c>
      <c r="E2" s="1" t="s">
        <v>12</v>
      </c>
      <c r="F2" s="1" t="s">
        <v>13</v>
      </c>
      <c r="G2" s="1" t="s">
        <v>14</v>
      </c>
      <c r="H2" s="1" t="str">
        <f>VLOOKUP(G2, Listas!G:H, 2, FALSE)</f>
        <v>Pizza</v>
      </c>
      <c r="I2" s="1">
        <f>VLOOKUP(G2, Listas!G:I, 3, FALSE)</f>
        <v>2800</v>
      </c>
      <c r="J2" s="1">
        <v>2</v>
      </c>
      <c r="K2" s="8">
        <f>I2*J2</f>
        <v>5600</v>
      </c>
    </row>
    <row r="3" spans="1:34" ht="29.25" customHeight="1">
      <c r="A3" s="2">
        <v>46024</v>
      </c>
      <c r="B3" s="14" t="str">
        <f>TEXT(Tabla5[[#This Row],[Fecha]],"MMMM")</f>
        <v>enero</v>
      </c>
      <c r="C3" s="1">
        <v>1001</v>
      </c>
      <c r="D3" s="1" t="s">
        <v>15</v>
      </c>
      <c r="E3" s="1" t="s">
        <v>16</v>
      </c>
      <c r="F3" s="1" t="s">
        <v>17</v>
      </c>
      <c r="G3" s="1" t="s">
        <v>18</v>
      </c>
      <c r="H3" s="1" t="str">
        <f>VLOOKUP(G3, Listas!G:H, 2, FALSE)</f>
        <v>Pizza</v>
      </c>
      <c r="I3" s="1">
        <f>VLOOKUP(G3, Listas!G:I, 3, FALSE)</f>
        <v>21000</v>
      </c>
      <c r="J3" s="1">
        <v>1</v>
      </c>
      <c r="K3" s="8">
        <f t="shared" ref="K2:K33" si="0">I3*J3</f>
        <v>21000</v>
      </c>
      <c r="S3" s="49" t="s">
        <v>19</v>
      </c>
      <c r="T3" s="50"/>
      <c r="U3" s="51"/>
      <c r="V3" s="29"/>
      <c r="W3" s="47" t="s">
        <v>20</v>
      </c>
      <c r="X3" s="47"/>
      <c r="Y3" s="47"/>
      <c r="Z3" s="29"/>
      <c r="AA3" s="29"/>
      <c r="AB3" s="29"/>
      <c r="AC3" s="29"/>
      <c r="AD3" s="29"/>
      <c r="AE3" s="29"/>
      <c r="AF3" s="29"/>
      <c r="AG3" s="29"/>
      <c r="AH3" s="29"/>
    </row>
    <row r="4" spans="1:34" ht="18.75">
      <c r="A4" s="2">
        <v>46025</v>
      </c>
      <c r="B4" s="14" t="str">
        <f>TEXT(Tabla5[[#This Row],[Fecha]],"MMMM")</f>
        <v>enero</v>
      </c>
      <c r="C4" s="1">
        <v>1002</v>
      </c>
      <c r="D4" s="1" t="s">
        <v>21</v>
      </c>
      <c r="E4" s="1" t="s">
        <v>22</v>
      </c>
      <c r="F4" s="1" t="s">
        <v>23</v>
      </c>
      <c r="G4" s="1" t="s">
        <v>24</v>
      </c>
      <c r="H4" s="1" t="str">
        <f>VLOOKUP(G4, Listas!G:H, 2, FALSE)</f>
        <v>Bebidas</v>
      </c>
      <c r="I4" s="1">
        <f>VLOOKUP(G4, Listas!G:I, 3, FALSE)</f>
        <v>1800</v>
      </c>
      <c r="J4" s="1">
        <v>3</v>
      </c>
      <c r="K4" s="8">
        <f t="shared" si="0"/>
        <v>5400</v>
      </c>
      <c r="S4" s="42" t="s">
        <v>25</v>
      </c>
      <c r="T4" s="42"/>
      <c r="U4" s="42"/>
      <c r="V4" s="29"/>
      <c r="W4" s="42">
        <f>COUNTIFS(Tabla5[Mes], $S$4)</f>
        <v>31</v>
      </c>
      <c r="X4" s="42"/>
      <c r="Y4" s="42"/>
      <c r="Z4" s="29"/>
      <c r="AA4" s="29"/>
      <c r="AB4" s="29"/>
      <c r="AC4" s="29"/>
      <c r="AD4" s="29"/>
      <c r="AE4" s="29"/>
      <c r="AF4" s="29"/>
      <c r="AG4" s="29"/>
      <c r="AH4" s="29"/>
    </row>
    <row r="5" spans="1:34" ht="18.75">
      <c r="A5" s="2">
        <v>46026</v>
      </c>
      <c r="B5" s="14" t="str">
        <f>TEXT(Tabla5[[#This Row],[Fecha]],"MMMM")</f>
        <v>enero</v>
      </c>
      <c r="C5" s="1">
        <v>1003</v>
      </c>
      <c r="D5" s="1" t="s">
        <v>21</v>
      </c>
      <c r="E5" s="1" t="s">
        <v>26</v>
      </c>
      <c r="F5" s="1" t="s">
        <v>13</v>
      </c>
      <c r="G5" s="1" t="s">
        <v>27</v>
      </c>
      <c r="H5" s="1" t="str">
        <f>VLOOKUP(G5, Listas!G:H, 2, FALSE)</f>
        <v>Bebidas</v>
      </c>
      <c r="I5" s="1">
        <f>VLOOKUP(G5, Listas!G:I, 3, FALSE)</f>
        <v>2500</v>
      </c>
      <c r="J5" s="1">
        <v>1</v>
      </c>
      <c r="K5" s="8">
        <f t="shared" si="0"/>
        <v>2500</v>
      </c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 spans="1:34" ht="20.25">
      <c r="A6" s="2">
        <v>46027</v>
      </c>
      <c r="B6" s="14" t="str">
        <f>TEXT(Tabla5[[#This Row],[Fecha]],"MMMM")</f>
        <v>enero</v>
      </c>
      <c r="C6" s="1">
        <v>1004</v>
      </c>
      <c r="D6" s="1" t="s">
        <v>11</v>
      </c>
      <c r="E6" s="1" t="s">
        <v>28</v>
      </c>
      <c r="F6" s="1" t="s">
        <v>29</v>
      </c>
      <c r="G6" s="1" t="s">
        <v>30</v>
      </c>
      <c r="H6" s="1" t="str">
        <f>VLOOKUP(G6, Listas!G:H, 2, FALSE)</f>
        <v>Acompañamientos</v>
      </c>
      <c r="I6" s="1">
        <f>VLOOKUP(G6, Listas!G:I, 3, FALSE)</f>
        <v>2400</v>
      </c>
      <c r="J6" s="1">
        <v>2</v>
      </c>
      <c r="K6" s="8">
        <f t="shared" si="0"/>
        <v>4800</v>
      </c>
      <c r="S6" s="47" t="s">
        <v>31</v>
      </c>
      <c r="T6" s="47"/>
      <c r="U6" s="47"/>
      <c r="V6" s="29"/>
      <c r="W6" s="47" t="s">
        <v>32</v>
      </c>
      <c r="X6" s="47"/>
      <c r="Y6" s="47"/>
      <c r="Z6" s="29"/>
      <c r="AA6" s="47" t="s">
        <v>33</v>
      </c>
      <c r="AB6" s="47"/>
      <c r="AC6" s="47"/>
      <c r="AD6" s="29"/>
      <c r="AE6" s="29"/>
      <c r="AF6" s="29"/>
      <c r="AG6" s="29"/>
      <c r="AH6" s="29"/>
    </row>
    <row r="7" spans="1:34" ht="18.75">
      <c r="A7" s="2">
        <v>46028</v>
      </c>
      <c r="B7" s="14" t="str">
        <f>TEXT(Tabla5[[#This Row],[Fecha]],"MMMM")</f>
        <v>enero</v>
      </c>
      <c r="C7" s="1">
        <v>1005</v>
      </c>
      <c r="D7" s="1" t="s">
        <v>15</v>
      </c>
      <c r="E7" s="1" t="s">
        <v>12</v>
      </c>
      <c r="F7" s="1" t="s">
        <v>13</v>
      </c>
      <c r="G7" s="1" t="s">
        <v>14</v>
      </c>
      <c r="H7" s="1" t="str">
        <f>VLOOKUP(G7, Listas!G:H, 2, FALSE)</f>
        <v>Pizza</v>
      </c>
      <c r="I7" s="1">
        <f>VLOOKUP(G7, Listas!G:I, 3, FALSE)</f>
        <v>2800</v>
      </c>
      <c r="J7" s="1">
        <v>5</v>
      </c>
      <c r="K7" s="8">
        <f t="shared" si="0"/>
        <v>14000</v>
      </c>
      <c r="S7" s="48">
        <f>SUMIFS(Tabla5[Total],Tabla5[Mes],$S$4)</f>
        <v>638400</v>
      </c>
      <c r="T7" s="48"/>
      <c r="U7" s="48"/>
      <c r="V7" s="29"/>
      <c r="W7" s="48">
        <f>SUM(Tabla5[Total])</f>
        <v>2508800</v>
      </c>
      <c r="X7" s="48"/>
      <c r="Y7" s="48"/>
      <c r="Z7" s="29"/>
      <c r="AA7" s="48">
        <f>AVERAGEIFS(Tabla5[Total],Tabla5[Mes],$S$4)</f>
        <v>20593.548387096773</v>
      </c>
      <c r="AB7" s="48"/>
      <c r="AC7" s="48"/>
      <c r="AD7" s="29"/>
      <c r="AE7" s="29"/>
      <c r="AF7" s="29"/>
      <c r="AG7" s="29"/>
      <c r="AH7" s="29"/>
    </row>
    <row r="8" spans="1:34" ht="18.75">
      <c r="A8" s="2">
        <v>46029</v>
      </c>
      <c r="B8" s="14" t="str">
        <f>TEXT(Tabla5[[#This Row],[Fecha]],"MMMM")</f>
        <v>enero</v>
      </c>
      <c r="C8" s="1">
        <v>1006</v>
      </c>
      <c r="D8" s="1" t="s">
        <v>11</v>
      </c>
      <c r="E8" s="1" t="s">
        <v>16</v>
      </c>
      <c r="F8" s="1" t="s">
        <v>23</v>
      </c>
      <c r="G8" s="1" t="s">
        <v>27</v>
      </c>
      <c r="H8" s="1" t="str">
        <f>VLOOKUP(G8, Listas!G:H, 2, FALSE)</f>
        <v>Bebidas</v>
      </c>
      <c r="I8" s="1">
        <f>VLOOKUP(G8, Listas!G:I, 3, FALSE)</f>
        <v>2500</v>
      </c>
      <c r="J8" s="1">
        <v>2</v>
      </c>
      <c r="K8" s="8">
        <f t="shared" si="0"/>
        <v>5000</v>
      </c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34" ht="20.25">
      <c r="A9" s="2">
        <v>46030</v>
      </c>
      <c r="B9" s="14" t="str">
        <f>TEXT(Tabla5[[#This Row],[Fecha]],"MMMM")</f>
        <v>enero</v>
      </c>
      <c r="C9" s="1">
        <v>1007</v>
      </c>
      <c r="D9" s="1" t="s">
        <v>21</v>
      </c>
      <c r="E9" s="1" t="s">
        <v>22</v>
      </c>
      <c r="F9" s="1" t="s">
        <v>17</v>
      </c>
      <c r="G9" s="1" t="s">
        <v>34</v>
      </c>
      <c r="H9" s="1" t="str">
        <f>VLOOKUP(G9, Listas!G:H, 2, FALSE)</f>
        <v>Pizza</v>
      </c>
      <c r="I9" s="1">
        <f>VLOOKUP(G9, Listas!G:I, 3, FALSE)</f>
        <v>20000</v>
      </c>
      <c r="J9" s="1">
        <v>1</v>
      </c>
      <c r="K9" s="8">
        <f t="shared" si="0"/>
        <v>20000</v>
      </c>
      <c r="S9" s="47" t="s">
        <v>35</v>
      </c>
      <c r="T9" s="47"/>
      <c r="U9" s="47"/>
      <c r="V9" s="29"/>
      <c r="W9" s="46" t="s">
        <v>36</v>
      </c>
      <c r="X9" s="46"/>
      <c r="Y9" s="46"/>
      <c r="Z9" s="29"/>
      <c r="AA9" s="47" t="s">
        <v>37</v>
      </c>
      <c r="AB9" s="47"/>
      <c r="AC9" s="47"/>
      <c r="AD9" s="47"/>
      <c r="AE9" s="47"/>
      <c r="AF9" s="29"/>
      <c r="AG9" s="43" t="s">
        <v>35</v>
      </c>
      <c r="AH9" s="44"/>
    </row>
    <row r="10" spans="1:34" ht="36.75" customHeight="1">
      <c r="A10" s="2">
        <v>46031</v>
      </c>
      <c r="B10" s="14" t="str">
        <f>TEXT(Tabla5[[#This Row],[Fecha]],"MMMM")</f>
        <v>enero</v>
      </c>
      <c r="C10" s="1">
        <v>1008</v>
      </c>
      <c r="D10" s="1" t="s">
        <v>11</v>
      </c>
      <c r="E10" s="1" t="s">
        <v>26</v>
      </c>
      <c r="F10" s="1" t="s">
        <v>23</v>
      </c>
      <c r="G10" s="1" t="s">
        <v>38</v>
      </c>
      <c r="H10" s="1" t="str">
        <f>VLOOKUP(G10, Listas!G:H, 2, FALSE)</f>
        <v>Pizza</v>
      </c>
      <c r="I10" s="1">
        <f>VLOOKUP(G10, Listas!G:I, 3, FALSE)</f>
        <v>18000</v>
      </c>
      <c r="J10" s="1">
        <v>2</v>
      </c>
      <c r="K10" s="8">
        <f t="shared" si="0"/>
        <v>36000</v>
      </c>
      <c r="S10" s="26" t="s">
        <v>39</v>
      </c>
      <c r="T10" s="26" t="s">
        <v>40</v>
      </c>
      <c r="U10" s="26" t="s">
        <v>41</v>
      </c>
      <c r="V10" s="29"/>
      <c r="W10" s="31" t="s">
        <v>4</v>
      </c>
      <c r="X10" s="25" t="s">
        <v>42</v>
      </c>
      <c r="Y10" s="31" t="s">
        <v>43</v>
      </c>
      <c r="Z10" s="29"/>
      <c r="AA10" s="26" t="s">
        <v>3</v>
      </c>
      <c r="AB10" s="26" t="s">
        <v>13</v>
      </c>
      <c r="AC10" s="26" t="s">
        <v>17</v>
      </c>
      <c r="AD10" s="26" t="s">
        <v>23</v>
      </c>
      <c r="AE10" s="26" t="s">
        <v>10</v>
      </c>
      <c r="AF10" s="29"/>
      <c r="AG10" s="27" t="s">
        <v>44</v>
      </c>
      <c r="AH10" s="19" t="s">
        <v>45</v>
      </c>
    </row>
    <row r="11" spans="1:34" ht="18.75">
      <c r="A11" s="2">
        <v>46032</v>
      </c>
      <c r="B11" s="14" t="str">
        <f>TEXT(Tabla5[[#This Row],[Fecha]],"MMMM")</f>
        <v>enero</v>
      </c>
      <c r="C11" s="1">
        <v>1009</v>
      </c>
      <c r="D11" s="1" t="s">
        <v>11</v>
      </c>
      <c r="E11" s="1" t="s">
        <v>28</v>
      </c>
      <c r="F11" s="1" t="s">
        <v>13</v>
      </c>
      <c r="G11" s="1" t="s">
        <v>46</v>
      </c>
      <c r="H11" s="1" t="str">
        <f>VLOOKUP(G11, Listas!G:H, 2, FALSE)</f>
        <v>Pizza</v>
      </c>
      <c r="I11" s="1">
        <f>VLOOKUP(G11, Listas!G:I, 3, FALSE)</f>
        <v>3000</v>
      </c>
      <c r="J11" s="1">
        <v>4</v>
      </c>
      <c r="K11" s="8">
        <f t="shared" si="0"/>
        <v>12000</v>
      </c>
      <c r="N11" s="15"/>
      <c r="S11" s="19" t="str" cm="1">
        <f t="array" ref="S11:S14">_xlfn.UNIQUE(Tabla5[Categoría])</f>
        <v>Pizza</v>
      </c>
      <c r="T11" s="31">
        <f>SUMIFS(Tabla5[Cantidad], Tabla5[Mes], $S$4, Tabla5[Categoría], "Pizza")</f>
        <v>39</v>
      </c>
      <c r="U11" s="32">
        <f>SUMIFS(Tabla5[Total], Tabla5[Mes], $S$4, Tabla5[Categoría], "Pizza")</f>
        <v>539000</v>
      </c>
      <c r="V11" s="29"/>
      <c r="W11" s="31" t="str" cm="1">
        <f t="array" ref="W11:W15">_xlfn.UNIQUE(Tabla5[Vendedor])</f>
        <v>Juan Perez</v>
      </c>
      <c r="X11" s="16">
        <f>SUMIFS(Tabla5[Total], Tabla5[Mes], $S$4)</f>
        <v>638400</v>
      </c>
      <c r="Y11" s="31">
        <f>COUNTIFS(Tabla5[Mes], $S$4, Tabla5[Vendedor], "Juan Perez")</f>
        <v>7</v>
      </c>
      <c r="Z11" s="29"/>
      <c r="AA11" s="31" t="str" cm="1">
        <f t="array" ref="AA11:AA13">_xlfn.UNIQUE(Tabla5[Canal])</f>
        <v>mostrador</v>
      </c>
      <c r="AB11" s="32">
        <f>SUMIFS(Tabla5[Total], Tabla5[Mes], $S$4, Tabla5[Canal], "Mostrador", Tabla5[Pago], "Efectivo")</f>
        <v>99600</v>
      </c>
      <c r="AC11" s="32">
        <f>SUMIFS(Tabla5[Total], Tabla5[Mes], $S$4, Tabla5[Canal], "Mostrador", Tabla5[Pago], "Tarjeta")</f>
        <v>101700</v>
      </c>
      <c r="AD11" s="32">
        <f>SUMIFS(Tabla5[Total], Tabla5[Mes], $S$4, Tabla5[Canal], "Mostrador", Tabla5[Pago], "QR")</f>
        <v>70000</v>
      </c>
      <c r="AE11" s="32">
        <f>SUM(AB11 +AC11 +AD11)</f>
        <v>271300</v>
      </c>
      <c r="AF11" s="29"/>
      <c r="AG11" s="27" t="s">
        <v>25</v>
      </c>
      <c r="AH11" s="31">
        <f>SUMIF(Tabla5[Mes], "enero", Tabla5[Total])</f>
        <v>638400</v>
      </c>
    </row>
    <row r="12" spans="1:34" ht="18.75">
      <c r="A12" s="2">
        <v>46033</v>
      </c>
      <c r="B12" s="14" t="str">
        <f>TEXT(Tabla5[[#This Row],[Fecha]],"MMMM")</f>
        <v>enero</v>
      </c>
      <c r="C12" s="1">
        <v>1010</v>
      </c>
      <c r="D12" s="1" t="s">
        <v>11</v>
      </c>
      <c r="E12" s="1" t="s">
        <v>12</v>
      </c>
      <c r="F12" s="1" t="s">
        <v>23</v>
      </c>
      <c r="G12" s="1" t="s">
        <v>27</v>
      </c>
      <c r="H12" s="1" t="str">
        <f>VLOOKUP(G12, Listas!G:H, 2, FALSE)</f>
        <v>Bebidas</v>
      </c>
      <c r="I12" s="1">
        <f>VLOOKUP(G12, Listas!G:I, 3, FALSE)</f>
        <v>2500</v>
      </c>
      <c r="J12" s="1">
        <v>2</v>
      </c>
      <c r="K12" s="8">
        <f t="shared" si="0"/>
        <v>5000</v>
      </c>
      <c r="S12" s="31" t="str">
        <v>Bebidas</v>
      </c>
      <c r="T12" s="31">
        <f>SUMIFS(Tabla5[Cantidad], Tabla5[Mes], $S$4, Tabla5[Categoría], "Bebidas")</f>
        <v>20</v>
      </c>
      <c r="U12" s="32">
        <f>SUMIFS(Tabla5[Total], Tabla5[Mes], $S$4, Tabla5[Categoría], "Bebidas")</f>
        <v>61800</v>
      </c>
      <c r="V12" s="29"/>
      <c r="W12" s="31" t="str">
        <v>Luciano Alvarez</v>
      </c>
      <c r="X12" s="16">
        <f>SUMIFS(Tabla5[Total], Tabla5[Mes], $S$4, Tabla5[Vendedor], "Luciano Alvarez")</f>
        <v>221500</v>
      </c>
      <c r="Y12" s="31">
        <f>COUNTIFS(Tabla5[Mes], $S$4, Tabla5[Vendedor], "Luciano Alvarez")</f>
        <v>6</v>
      </c>
      <c r="Z12" s="29"/>
      <c r="AA12" s="31" t="str">
        <v>salón</v>
      </c>
      <c r="AB12" s="32">
        <f>SUMIFS(Tabla5[Total], Tabla5[Mes], $S$4, Tabla5[Canal], "Salón", Tabla5[Pago], "Efectivo")</f>
        <v>71300</v>
      </c>
      <c r="AC12" s="32">
        <f>SUMIFS(Tabla5[Total], Tabla5[Mes], $S$4, Tabla5[Canal], "Salón", Tabla5[Pago], "Tarjeta")</f>
        <v>131000</v>
      </c>
      <c r="AD12" s="32">
        <f>SUMIFS(Tabla5[Total], Tabla5[Mes], $S$4, Tabla5[Canal], "Salón", Tabla5[Pago], "QR")</f>
        <v>0</v>
      </c>
      <c r="AE12" s="32">
        <f t="shared" ref="AE12:AE13" si="1">SUM(AB12 +AC12 +AD12)</f>
        <v>202300</v>
      </c>
      <c r="AF12" s="29"/>
      <c r="AG12" s="27" t="s">
        <v>47</v>
      </c>
      <c r="AH12" s="31">
        <f>SUMIF(Tabla5[Mes], "Febrero", Tabla5[Total])</f>
        <v>565200</v>
      </c>
    </row>
    <row r="13" spans="1:34" ht="18.75">
      <c r="A13" s="2">
        <v>46034</v>
      </c>
      <c r="B13" s="14" t="str">
        <f>TEXT(Tabla5[[#This Row],[Fecha]],"MMMM")</f>
        <v>enero</v>
      </c>
      <c r="C13" s="1">
        <v>1011</v>
      </c>
      <c r="D13" s="1" t="s">
        <v>11</v>
      </c>
      <c r="E13" s="1" t="s">
        <v>16</v>
      </c>
      <c r="F13" s="1" t="s">
        <v>17</v>
      </c>
      <c r="G13" s="1" t="s">
        <v>48</v>
      </c>
      <c r="H13" s="1" t="str">
        <f>VLOOKUP(G13, Listas!G:H, 2, FALSE)</f>
        <v>Postres</v>
      </c>
      <c r="I13" s="1">
        <f>VLOOKUP(G13, Listas!G:I, 3, FALSE)</f>
        <v>5500</v>
      </c>
      <c r="J13" s="1">
        <v>1</v>
      </c>
      <c r="K13" s="8">
        <f t="shared" si="0"/>
        <v>5500</v>
      </c>
      <c r="S13" s="31" t="str">
        <v>Acompañamientos</v>
      </c>
      <c r="T13" s="31">
        <f>SUMIFS(Tabla5[Cantidad], Tabla5[Mes], $S$4, Tabla5[Categoría], "Acompañamientos")</f>
        <v>10</v>
      </c>
      <c r="U13" s="32">
        <f>SUMIFS(Tabla5[Total], Tabla5[Mes], $S$4, Tabla5[Categoría], "Acompañamientos")</f>
        <v>21600</v>
      </c>
      <c r="V13" s="29"/>
      <c r="W13" s="31" t="str">
        <v>Mateo Perez</v>
      </c>
      <c r="X13" s="16">
        <f>SUMIFS(Tabla5[Total], Tabla5[Mes], $S$4, Tabla5[Vendedor], "Mateo Perez")</f>
        <v>83800</v>
      </c>
      <c r="Y13" s="31">
        <f>COUNTIFS(Tabla5[Mes], $S$4, Tabla5[Vendedor], "Mateo Perez")</f>
        <v>6</v>
      </c>
      <c r="Z13" s="29"/>
      <c r="AA13" s="31" t="str">
        <v>Delivery</v>
      </c>
      <c r="AB13" s="32">
        <f>SUMIFS(Tabla5[Total], Tabla5[Mes], $S$4, Tabla5[Canal], "Delivery", Tabla5[Pago], "Efectivo")</f>
        <v>60400</v>
      </c>
      <c r="AC13" s="32">
        <f>SUMIFS(Tabla5[Total], Tabla5[Mes], $S$4, Tabla5[Canal], "Delivery", Tabla5[Pago], "Tarjeta")</f>
        <v>92000</v>
      </c>
      <c r="AD13" s="32">
        <f>SUMIFS(Tabla5[Total], Tabla5[Mes], $S$4, Tabla5[Canal], "Delivery", Tabla5[Pago], "QR")</f>
        <v>12400</v>
      </c>
      <c r="AE13" s="32">
        <f>SUM(AB13 +AC13 +AD13)</f>
        <v>164800</v>
      </c>
      <c r="AF13" s="29"/>
      <c r="AG13" s="27" t="s">
        <v>49</v>
      </c>
      <c r="AH13" s="31">
        <f>SUMIF(Tabla5[Mes], "Marzo", Tabla5[Total])</f>
        <v>681400</v>
      </c>
    </row>
    <row r="14" spans="1:34" ht="18.75">
      <c r="A14" s="2">
        <v>46035</v>
      </c>
      <c r="B14" s="14" t="str">
        <f>TEXT(Tabla5[[#This Row],[Fecha]],"MMMM")</f>
        <v>enero</v>
      </c>
      <c r="C14" s="1">
        <v>1012</v>
      </c>
      <c r="D14" s="1" t="s">
        <v>15</v>
      </c>
      <c r="E14" s="1" t="s">
        <v>22</v>
      </c>
      <c r="F14" s="1" t="s">
        <v>13</v>
      </c>
      <c r="G14" s="1" t="s">
        <v>50</v>
      </c>
      <c r="H14" s="1" t="str">
        <f>VLOOKUP(G14, Listas!G:H, 2, FALSE)</f>
        <v>Bebidas</v>
      </c>
      <c r="I14" s="1">
        <f>VLOOKUP(G14, Listas!G:I, 3, FALSE)</f>
        <v>4500</v>
      </c>
      <c r="J14" s="1">
        <v>1</v>
      </c>
      <c r="K14" s="8">
        <f t="shared" si="0"/>
        <v>4500</v>
      </c>
      <c r="S14" s="31" t="str">
        <v>Postres</v>
      </c>
      <c r="T14" s="31">
        <f>SUMIFS(Tabla5[Cantidad], Tabla5[Mes], $S$4, Tabla5[Categoría], "Postres")</f>
        <v>4</v>
      </c>
      <c r="U14" s="28">
        <f>SUMIFS(Tabla5[Total], Tabla5[Mes], $S$4, Tabla5[Categoría], "Postres")</f>
        <v>16000</v>
      </c>
      <c r="V14" s="29"/>
      <c r="W14" s="31" t="str">
        <v>Sol Solis</v>
      </c>
      <c r="X14" s="16">
        <f>SUMIFS(Tabla5[Total], Tabla5[Mes], $S$4, Tabla5[Vendedor], "Sol Solis")</f>
        <v>100700</v>
      </c>
      <c r="Y14" s="31">
        <f>COUNTIFS(Tabla5[Mes], $S$4, Tabla5[Vendedor], "Sol Solis")</f>
        <v>6</v>
      </c>
      <c r="Z14" s="29"/>
      <c r="AA14" s="29"/>
      <c r="AB14" s="29"/>
      <c r="AC14" s="29"/>
      <c r="AD14" s="29"/>
      <c r="AE14" s="29"/>
      <c r="AF14" s="29"/>
      <c r="AG14" s="27" t="s">
        <v>51</v>
      </c>
      <c r="AH14" s="31">
        <f>SUMIF(Tabla5[Mes], "Abril", Tabla5[Total])</f>
        <v>623800</v>
      </c>
    </row>
    <row r="15" spans="1:34" ht="18.75">
      <c r="A15" s="2">
        <v>46036</v>
      </c>
      <c r="B15" s="14" t="str">
        <f>TEXT(Tabla5[[#This Row],[Fecha]],"MMMM")</f>
        <v>enero</v>
      </c>
      <c r="C15" s="1">
        <v>1013</v>
      </c>
      <c r="D15" s="1" t="s">
        <v>21</v>
      </c>
      <c r="E15" s="1" t="s">
        <v>26</v>
      </c>
      <c r="F15" s="1" t="s">
        <v>13</v>
      </c>
      <c r="G15" s="1" t="s">
        <v>14</v>
      </c>
      <c r="H15" s="1" t="str">
        <f>VLOOKUP(G15, Listas!G:H, 2, FALSE)</f>
        <v>Pizza</v>
      </c>
      <c r="I15" s="1">
        <f>VLOOKUP(G15, Listas!G:I, 3, FALSE)</f>
        <v>2800</v>
      </c>
      <c r="J15" s="1">
        <v>3</v>
      </c>
      <c r="K15" s="8">
        <f t="shared" si="0"/>
        <v>8400</v>
      </c>
      <c r="S15" s="29"/>
      <c r="T15" s="29"/>
      <c r="U15" s="29"/>
      <c r="V15" s="29"/>
      <c r="W15" s="31" t="str">
        <v>Santiago Lopez</v>
      </c>
      <c r="X15" s="16">
        <f>SUMIFS(Tabla5[Total], Tabla5[Mes], $S$4, Tabla5[Vendedor], "Santiago Lopez")</f>
        <v>101800</v>
      </c>
      <c r="Y15" s="31">
        <f>COUNTIFS(Tabla5[Mes], $S$4, Tabla5[Vendedor], "Santiago Lopez")</f>
        <v>6</v>
      </c>
      <c r="Z15" s="29"/>
      <c r="AA15" s="42"/>
      <c r="AB15" s="42"/>
      <c r="AC15" s="42"/>
      <c r="AD15" s="42"/>
      <c r="AE15" s="42"/>
      <c r="AF15" s="29"/>
      <c r="AG15" s="27" t="s">
        <v>52</v>
      </c>
      <c r="AH15" s="31">
        <f>SUMIF(Tabla5[Mes], "Mayo", Tabla5[Total])</f>
        <v>0</v>
      </c>
    </row>
    <row r="16" spans="1:34" ht="18.75">
      <c r="A16" s="2">
        <v>46037</v>
      </c>
      <c r="B16" s="14" t="str">
        <f>TEXT(Tabla5[[#This Row],[Fecha]],"MMMM")</f>
        <v>enero</v>
      </c>
      <c r="C16" s="1">
        <v>1014</v>
      </c>
      <c r="D16" s="1" t="s">
        <v>21</v>
      </c>
      <c r="E16" s="1" t="s">
        <v>28</v>
      </c>
      <c r="F16" s="7" t="s">
        <v>23</v>
      </c>
      <c r="G16" s="7" t="s">
        <v>50</v>
      </c>
      <c r="H16" s="1" t="str">
        <f>VLOOKUP(G16, Listas!G:H, 2, FALSE)</f>
        <v>Bebidas</v>
      </c>
      <c r="I16" s="1">
        <f>VLOOKUP(G16, Listas!G:I, 3, FALSE)</f>
        <v>4500</v>
      </c>
      <c r="J16" s="7">
        <v>1</v>
      </c>
      <c r="K16" s="9">
        <f t="shared" si="0"/>
        <v>4500</v>
      </c>
      <c r="S16" s="29"/>
      <c r="T16" s="29"/>
      <c r="U16" s="29"/>
      <c r="V16" s="29"/>
      <c r="W16" s="29"/>
      <c r="X16" s="30"/>
      <c r="Y16" s="29"/>
      <c r="Z16" s="29"/>
      <c r="AA16" s="42"/>
      <c r="AB16" s="42"/>
      <c r="AC16" s="42"/>
      <c r="AD16" s="42"/>
      <c r="AE16" s="42"/>
      <c r="AF16" s="29"/>
      <c r="AG16" s="27" t="s">
        <v>53</v>
      </c>
      <c r="AH16" s="31">
        <f>SUMIF(Tabla5[Mes], "Junio", Tabla5[Total])</f>
        <v>0</v>
      </c>
    </row>
    <row r="17" spans="1:34" ht="18.75">
      <c r="A17" s="2">
        <v>46038</v>
      </c>
      <c r="B17" s="14" t="str">
        <f>TEXT(Tabla5[[#This Row],[Fecha]],"MMMM")</f>
        <v>enero</v>
      </c>
      <c r="C17" s="1">
        <v>1015</v>
      </c>
      <c r="D17" s="1" t="s">
        <v>11</v>
      </c>
      <c r="E17" s="1" t="s">
        <v>12</v>
      </c>
      <c r="F17" s="1" t="s">
        <v>29</v>
      </c>
      <c r="G17" s="1" t="s">
        <v>34</v>
      </c>
      <c r="H17" s="1" t="str">
        <f>VLOOKUP(G17, Listas!G:H, 2, FALSE)</f>
        <v>Pizza</v>
      </c>
      <c r="I17" s="1">
        <f>VLOOKUP(G17, Listas!G:I, 3, FALSE)</f>
        <v>20000</v>
      </c>
      <c r="J17" s="1">
        <v>4</v>
      </c>
      <c r="K17" s="8">
        <f t="shared" si="0"/>
        <v>80000</v>
      </c>
      <c r="S17" s="42"/>
      <c r="T17" s="42"/>
      <c r="U17" s="42"/>
      <c r="V17" s="29"/>
      <c r="W17" s="45"/>
      <c r="X17" s="45"/>
      <c r="Y17" s="45"/>
      <c r="Z17" s="29"/>
      <c r="AA17" s="42"/>
      <c r="AB17" s="42"/>
      <c r="AC17" s="42"/>
      <c r="AD17" s="42"/>
      <c r="AE17" s="42"/>
      <c r="AF17" s="29"/>
      <c r="AG17" s="27" t="s">
        <v>54</v>
      </c>
      <c r="AH17" s="31">
        <f>SUMIF(Tabla5[Mes], "Julio", Tabla5[Total])</f>
        <v>0</v>
      </c>
    </row>
    <row r="18" spans="1:34" ht="18.75">
      <c r="A18" s="2">
        <v>46039</v>
      </c>
      <c r="B18" s="14" t="str">
        <f>TEXT(Tabla5[[#This Row],[Fecha]],"MMMM")</f>
        <v>enero</v>
      </c>
      <c r="C18" s="1">
        <v>1016</v>
      </c>
      <c r="D18" s="1" t="s">
        <v>15</v>
      </c>
      <c r="E18" s="1" t="s">
        <v>16</v>
      </c>
      <c r="F18" s="1" t="s">
        <v>29</v>
      </c>
      <c r="G18" s="1" t="s">
        <v>55</v>
      </c>
      <c r="H18" s="1" t="str">
        <f>VLOOKUP(G18, Listas!G:H, 2, FALSE)</f>
        <v>Pizza</v>
      </c>
      <c r="I18" s="1">
        <f>VLOOKUP(G18, Listas!G:I, 3, FALSE)</f>
        <v>22000</v>
      </c>
      <c r="J18" s="1">
        <v>5</v>
      </c>
      <c r="K18" s="8">
        <f t="shared" si="0"/>
        <v>110000</v>
      </c>
      <c r="S18" s="42"/>
      <c r="T18" s="42"/>
      <c r="U18" s="42"/>
      <c r="V18" s="29"/>
      <c r="W18" s="45"/>
      <c r="X18" s="45"/>
      <c r="Y18" s="45"/>
      <c r="Z18" s="29"/>
      <c r="AA18" s="42"/>
      <c r="AB18" s="42"/>
      <c r="AC18" s="42"/>
      <c r="AD18" s="42"/>
      <c r="AE18" s="42"/>
      <c r="AF18" s="29"/>
      <c r="AG18" s="27" t="s">
        <v>56</v>
      </c>
      <c r="AH18" s="31">
        <f>SUMIF(Tabla5[Mes], "Agosto", Tabla5[Total])</f>
        <v>0</v>
      </c>
    </row>
    <row r="19" spans="1:34" ht="18.75">
      <c r="A19" s="2">
        <v>46040</v>
      </c>
      <c r="B19" s="14" t="str">
        <f>TEXT(Tabla5[[#This Row],[Fecha]],"MMMM")</f>
        <v>enero</v>
      </c>
      <c r="C19" s="1">
        <v>1017</v>
      </c>
      <c r="D19" s="1" t="s">
        <v>11</v>
      </c>
      <c r="E19" s="1" t="s">
        <v>22</v>
      </c>
      <c r="F19" s="1" t="s">
        <v>23</v>
      </c>
      <c r="G19" s="1" t="s">
        <v>50</v>
      </c>
      <c r="H19" s="1" t="str">
        <f>VLOOKUP(G19, Listas!G:H, 2, FALSE)</f>
        <v>Bebidas</v>
      </c>
      <c r="I19" s="1">
        <f>VLOOKUP(G19, Listas!G:I, 3, FALSE)</f>
        <v>4500</v>
      </c>
      <c r="J19" s="1">
        <v>1</v>
      </c>
      <c r="K19" s="8">
        <f t="shared" si="0"/>
        <v>4500</v>
      </c>
      <c r="S19" s="42"/>
      <c r="T19" s="42"/>
      <c r="U19" s="42"/>
      <c r="V19" s="29"/>
      <c r="W19" s="45"/>
      <c r="X19" s="45"/>
      <c r="Y19" s="45"/>
      <c r="Z19" s="29"/>
      <c r="AA19" s="42"/>
      <c r="AB19" s="42"/>
      <c r="AC19" s="42"/>
      <c r="AD19" s="42"/>
      <c r="AE19" s="42"/>
      <c r="AF19" s="29"/>
      <c r="AG19" s="27" t="s">
        <v>57</v>
      </c>
      <c r="AH19" s="31">
        <f>SUMIF(Tabla5[Mes], "Septiembre", Tabla5[Total])</f>
        <v>0</v>
      </c>
    </row>
    <row r="20" spans="1:34" ht="18.75">
      <c r="A20" s="2">
        <v>46041</v>
      </c>
      <c r="B20" s="14" t="str">
        <f>TEXT(Tabla5[[#This Row],[Fecha]],"MMMM")</f>
        <v>enero</v>
      </c>
      <c r="C20" s="1">
        <v>1018</v>
      </c>
      <c r="D20" s="1" t="s">
        <v>21</v>
      </c>
      <c r="E20" s="1" t="s">
        <v>26</v>
      </c>
      <c r="F20" s="1" t="s">
        <v>13</v>
      </c>
      <c r="G20" s="1" t="s">
        <v>38</v>
      </c>
      <c r="H20" s="1" t="str">
        <f>VLOOKUP(G20, Listas!G:H, 2, FALSE)</f>
        <v>Pizza</v>
      </c>
      <c r="I20" s="1">
        <f>VLOOKUP(G20, Listas!G:I, 3, FALSE)</f>
        <v>18000</v>
      </c>
      <c r="J20" s="1">
        <v>2</v>
      </c>
      <c r="K20" s="8">
        <f t="shared" si="0"/>
        <v>36000</v>
      </c>
      <c r="S20" s="42"/>
      <c r="T20" s="42"/>
      <c r="U20" s="42"/>
      <c r="V20" s="29"/>
      <c r="W20" s="45"/>
      <c r="X20" s="45"/>
      <c r="Y20" s="45"/>
      <c r="Z20" s="29"/>
      <c r="AA20" s="42"/>
      <c r="AB20" s="42"/>
      <c r="AC20" s="42"/>
      <c r="AD20" s="42"/>
      <c r="AE20" s="42"/>
      <c r="AF20" s="29"/>
      <c r="AG20" s="27" t="s">
        <v>58</v>
      </c>
      <c r="AH20" s="31">
        <f>SUMIF(Tabla5[Mes], "Octubre", Tabla5[Total])</f>
        <v>0</v>
      </c>
    </row>
    <row r="21" spans="1:34" ht="18.75">
      <c r="A21" s="2">
        <v>46042</v>
      </c>
      <c r="B21" s="14" t="str">
        <f>TEXT(Tabla5[[#This Row],[Fecha]],"MMMM")</f>
        <v>enero</v>
      </c>
      <c r="C21" s="1">
        <v>1019</v>
      </c>
      <c r="D21" s="1" t="s">
        <v>11</v>
      </c>
      <c r="E21" s="1" t="s">
        <v>28</v>
      </c>
      <c r="F21" s="1" t="s">
        <v>17</v>
      </c>
      <c r="G21" s="1" t="s">
        <v>59</v>
      </c>
      <c r="H21" s="1" t="str">
        <f>VLOOKUP(G21, Listas!G:H, 2, FALSE)</f>
        <v>Acompañamientos</v>
      </c>
      <c r="I21" s="1">
        <f>VLOOKUP(G21, Listas!G:I, 3, FALSE)</f>
        <v>2000</v>
      </c>
      <c r="J21" s="1">
        <v>3</v>
      </c>
      <c r="K21" s="8">
        <f t="shared" si="0"/>
        <v>6000</v>
      </c>
      <c r="S21" s="42"/>
      <c r="T21" s="42"/>
      <c r="U21" s="42"/>
      <c r="V21" s="29"/>
      <c r="W21" s="45"/>
      <c r="X21" s="45"/>
      <c r="Y21" s="45"/>
      <c r="Z21" s="29"/>
      <c r="AA21" s="42"/>
      <c r="AB21" s="42"/>
      <c r="AC21" s="42"/>
      <c r="AD21" s="42"/>
      <c r="AE21" s="42"/>
      <c r="AF21" s="29"/>
      <c r="AG21" s="27" t="s">
        <v>60</v>
      </c>
      <c r="AH21" s="31">
        <f>SUMIF(Tabla5[Mes], "Noviembre", Tabla5[Total])</f>
        <v>0</v>
      </c>
    </row>
    <row r="22" spans="1:34" ht="18.75">
      <c r="A22" s="2">
        <v>46043</v>
      </c>
      <c r="B22" s="14" t="str">
        <f>TEXT(Tabla5[[#This Row],[Fecha]],"MMMM")</f>
        <v>enero</v>
      </c>
      <c r="C22" s="1">
        <v>1020</v>
      </c>
      <c r="D22" s="1" t="s">
        <v>11</v>
      </c>
      <c r="E22" s="1" t="s">
        <v>12</v>
      </c>
      <c r="F22" s="1" t="s">
        <v>23</v>
      </c>
      <c r="G22" s="1" t="s">
        <v>61</v>
      </c>
      <c r="H22" s="1" t="str">
        <f>VLOOKUP(G22, Listas!G:H, 2, FALSE)</f>
        <v>Postres</v>
      </c>
      <c r="I22" s="1">
        <f>VLOOKUP(G22, Listas!G:I, 3, FALSE)</f>
        <v>3500</v>
      </c>
      <c r="J22" s="1">
        <v>3</v>
      </c>
      <c r="K22" s="8">
        <f t="shared" si="0"/>
        <v>10500</v>
      </c>
      <c r="S22" s="42"/>
      <c r="T22" s="42"/>
      <c r="U22" s="42"/>
      <c r="V22" s="29"/>
      <c r="W22" s="45"/>
      <c r="X22" s="45"/>
      <c r="Y22" s="45"/>
      <c r="Z22" s="29"/>
      <c r="AA22" s="42"/>
      <c r="AB22" s="42"/>
      <c r="AC22" s="42"/>
      <c r="AD22" s="42"/>
      <c r="AE22" s="42"/>
      <c r="AF22" s="29"/>
      <c r="AG22" s="27" t="s">
        <v>62</v>
      </c>
      <c r="AH22" s="31">
        <f>SUMIF(Tabla5[Mes], "Diciembre", Tabla5[Total])</f>
        <v>0</v>
      </c>
    </row>
    <row r="23" spans="1:34" ht="18.75">
      <c r="A23" s="2">
        <v>46044</v>
      </c>
      <c r="B23" s="14" t="str">
        <f>TEXT(Tabla5[[#This Row],[Fecha]],"MMMM")</f>
        <v>enero</v>
      </c>
      <c r="C23" s="1">
        <v>1021</v>
      </c>
      <c r="D23" s="1" t="s">
        <v>11</v>
      </c>
      <c r="E23" s="1" t="s">
        <v>16</v>
      </c>
      <c r="F23" s="1" t="s">
        <v>13</v>
      </c>
      <c r="G23" s="1" t="s">
        <v>34</v>
      </c>
      <c r="H23" s="1" t="str">
        <f>VLOOKUP(G23, Listas!G:H, 2, FALSE)</f>
        <v>Pizza</v>
      </c>
      <c r="I23" s="1">
        <f>VLOOKUP(G23, Listas!G:I, 3, FALSE)</f>
        <v>20000</v>
      </c>
      <c r="J23" s="1">
        <v>1</v>
      </c>
      <c r="K23" s="8">
        <f t="shared" si="0"/>
        <v>20000</v>
      </c>
      <c r="S23" s="42"/>
      <c r="T23" s="42"/>
      <c r="U23" s="42"/>
      <c r="V23" s="29"/>
      <c r="W23" s="45"/>
      <c r="X23" s="45"/>
      <c r="Y23" s="45"/>
      <c r="Z23" s="29"/>
      <c r="AA23" s="42"/>
      <c r="AB23" s="42"/>
      <c r="AC23" s="42"/>
      <c r="AD23" s="42"/>
      <c r="AE23" s="42"/>
      <c r="AF23" s="29"/>
      <c r="AG23" s="29"/>
      <c r="AH23" s="29"/>
    </row>
    <row r="24" spans="1:34" ht="20.25">
      <c r="A24" s="2">
        <v>46045</v>
      </c>
      <c r="B24" s="14" t="str">
        <f>TEXT(Tabla5[[#This Row],[Fecha]],"MMMM")</f>
        <v>enero</v>
      </c>
      <c r="C24" s="1">
        <v>1022</v>
      </c>
      <c r="D24" s="1" t="s">
        <v>11</v>
      </c>
      <c r="E24" s="1" t="s">
        <v>22</v>
      </c>
      <c r="F24" s="1" t="s">
        <v>17</v>
      </c>
      <c r="G24" s="1" t="s">
        <v>24</v>
      </c>
      <c r="H24" s="1" t="str">
        <f>VLOOKUP(G24, Listas!G:H, 2, FALSE)</f>
        <v>Bebidas</v>
      </c>
      <c r="I24" s="1">
        <f>VLOOKUP(G24, Listas!G:I, 3, FALSE)</f>
        <v>1800</v>
      </c>
      <c r="J24" s="1">
        <v>3</v>
      </c>
      <c r="K24" s="8">
        <f t="shared" si="0"/>
        <v>5400</v>
      </c>
      <c r="S24" s="42"/>
      <c r="T24" s="42"/>
      <c r="U24" s="42"/>
      <c r="V24" s="29"/>
      <c r="W24" s="45"/>
      <c r="X24" s="45"/>
      <c r="Y24" s="45"/>
      <c r="Z24" s="29"/>
      <c r="AA24" s="42"/>
      <c r="AB24" s="42"/>
      <c r="AC24" s="42"/>
      <c r="AD24" s="42"/>
      <c r="AE24" s="42"/>
      <c r="AF24" s="29"/>
      <c r="AG24" s="43" t="s">
        <v>63</v>
      </c>
      <c r="AH24" s="44"/>
    </row>
    <row r="25" spans="1:34" ht="18.75">
      <c r="A25" s="2">
        <v>46046</v>
      </c>
      <c r="B25" s="14" t="str">
        <f>TEXT(Tabla5[[#This Row],[Fecha]],"MMMM")</f>
        <v>enero</v>
      </c>
      <c r="C25" s="1">
        <v>1023</v>
      </c>
      <c r="D25" s="1" t="s">
        <v>15</v>
      </c>
      <c r="E25" s="1" t="s">
        <v>26</v>
      </c>
      <c r="F25" s="1" t="s">
        <v>13</v>
      </c>
      <c r="G25" s="1" t="s">
        <v>64</v>
      </c>
      <c r="H25" s="1" t="str">
        <f>VLOOKUP(G25, Listas!G:H, 2, FALSE)</f>
        <v>Acompañamientos</v>
      </c>
      <c r="I25" s="1">
        <f>VLOOKUP(G25, Listas!G:I, 3, FALSE)</f>
        <v>2200</v>
      </c>
      <c r="J25" s="1">
        <v>4</v>
      </c>
      <c r="K25" s="8">
        <f t="shared" si="0"/>
        <v>8800</v>
      </c>
      <c r="S25" s="42"/>
      <c r="T25" s="42"/>
      <c r="U25" s="42"/>
      <c r="V25" s="29"/>
      <c r="W25" s="45"/>
      <c r="X25" s="45"/>
      <c r="Y25" s="45"/>
      <c r="Z25" s="29"/>
      <c r="AA25" s="42"/>
      <c r="AB25" s="42"/>
      <c r="AC25" s="42"/>
      <c r="AD25" s="42"/>
      <c r="AE25" s="42"/>
      <c r="AF25" s="29"/>
      <c r="AG25" s="23" t="s">
        <v>6</v>
      </c>
      <c r="AH25" s="31" t="s">
        <v>65</v>
      </c>
    </row>
    <row r="26" spans="1:34" ht="18.75">
      <c r="A26" s="2">
        <v>46047</v>
      </c>
      <c r="B26" s="14" t="str">
        <f>TEXT(Tabla5[[#This Row],[Fecha]],"MMMM")</f>
        <v>enero</v>
      </c>
      <c r="C26" s="1">
        <v>1024</v>
      </c>
      <c r="D26" s="1" t="s">
        <v>21</v>
      </c>
      <c r="E26" s="1" t="s">
        <v>28</v>
      </c>
      <c r="F26" s="1" t="s">
        <v>23</v>
      </c>
      <c r="G26" s="1" t="s">
        <v>27</v>
      </c>
      <c r="H26" s="1" t="str">
        <f>VLOOKUP(G26, Listas!G:H, 2, FALSE)</f>
        <v>Bebidas</v>
      </c>
      <c r="I26" s="1">
        <f>VLOOKUP(G26, Listas!G:I, 3, FALSE)</f>
        <v>2500</v>
      </c>
      <c r="J26" s="1">
        <v>1</v>
      </c>
      <c r="K26" s="8">
        <f t="shared" si="0"/>
        <v>2500</v>
      </c>
      <c r="S26" s="42"/>
      <c r="T26" s="42"/>
      <c r="U26" s="42"/>
      <c r="V26" s="29"/>
      <c r="W26" s="45"/>
      <c r="X26" s="45"/>
      <c r="Y26" s="45"/>
      <c r="Z26" s="29"/>
      <c r="AA26" s="42"/>
      <c r="AB26" s="42"/>
      <c r="AC26" s="42"/>
      <c r="AD26" s="42"/>
      <c r="AE26" s="42"/>
      <c r="AF26" s="29"/>
      <c r="AG26" s="23" t="s">
        <v>14</v>
      </c>
      <c r="AH26" s="31">
        <f>SUMIFS(Tabla5[Cantidad], Tabla5[Mes], $S$4, Tabla5[Producto], "Porción Muzza")</f>
        <v>10</v>
      </c>
    </row>
    <row r="27" spans="1:34" ht="18.75">
      <c r="A27" s="2">
        <v>46048</v>
      </c>
      <c r="B27" s="14" t="str">
        <f>TEXT(Tabla5[[#This Row],[Fecha]],"MMMM")</f>
        <v>enero</v>
      </c>
      <c r="C27" s="1">
        <v>1025</v>
      </c>
      <c r="D27" s="1" t="s">
        <v>21</v>
      </c>
      <c r="E27" s="1" t="s">
        <v>12</v>
      </c>
      <c r="F27" s="1" t="s">
        <v>66</v>
      </c>
      <c r="G27" s="7" t="s">
        <v>50</v>
      </c>
      <c r="H27" s="1" t="str">
        <f>VLOOKUP(G27, Listas!G:H, 2, FALSE)</f>
        <v>Bebidas</v>
      </c>
      <c r="I27" s="1">
        <f>VLOOKUP(G27, Listas!G:I, 3, FALSE)</f>
        <v>4500</v>
      </c>
      <c r="J27" s="1">
        <v>3</v>
      </c>
      <c r="K27" s="8">
        <f t="shared" si="0"/>
        <v>13500</v>
      </c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3" t="s">
        <v>38</v>
      </c>
      <c r="AH27" s="31">
        <f>SUMIFS(Tabla5[Cantidad], Tabla5[Mes], $S$4, Tabla5[Producto], "Grande de Muzza")</f>
        <v>8</v>
      </c>
    </row>
    <row r="28" spans="1:34" ht="18.75">
      <c r="A28" s="2">
        <v>46049</v>
      </c>
      <c r="B28" s="14" t="str">
        <f>TEXT(Tabla5[[#This Row],[Fecha]],"MMMM")</f>
        <v>enero</v>
      </c>
      <c r="C28" s="1">
        <v>1026</v>
      </c>
      <c r="D28" s="1" t="s">
        <v>11</v>
      </c>
      <c r="E28" s="1" t="s">
        <v>16</v>
      </c>
      <c r="F28" s="1" t="s">
        <v>13</v>
      </c>
      <c r="G28" s="1" t="s">
        <v>34</v>
      </c>
      <c r="H28" s="1" t="str">
        <f>VLOOKUP(G28, Listas!G:H, 2, FALSE)</f>
        <v>Pizza</v>
      </c>
      <c r="I28" s="1">
        <f>VLOOKUP(G28, Listas!G:I, 3, FALSE)</f>
        <v>20000</v>
      </c>
      <c r="J28" s="1">
        <v>3</v>
      </c>
      <c r="K28" s="8">
        <f t="shared" si="0"/>
        <v>60000</v>
      </c>
      <c r="S28" s="33"/>
      <c r="T28" s="34"/>
      <c r="U28" s="35"/>
      <c r="V28" s="29"/>
      <c r="W28" s="42"/>
      <c r="X28" s="42"/>
      <c r="Y28" s="42"/>
      <c r="Z28" s="29"/>
      <c r="AA28" s="42"/>
      <c r="AB28" s="42"/>
      <c r="AC28" s="42"/>
      <c r="AD28" s="42"/>
      <c r="AE28" s="42"/>
      <c r="AF28" s="29"/>
      <c r="AG28" s="24" t="s">
        <v>18</v>
      </c>
      <c r="AH28" s="31">
        <f>SUMIFS(Tabla5[Cantidad], Tabla5[Mes], $S$4, Tabla5[Producto], "Grande de Fugazzeta")</f>
        <v>1</v>
      </c>
    </row>
    <row r="29" spans="1:34" ht="18.75">
      <c r="A29" s="2">
        <v>46050</v>
      </c>
      <c r="B29" s="14" t="str">
        <f>TEXT(Tabla5[[#This Row],[Fecha]],"MMMM")</f>
        <v>enero</v>
      </c>
      <c r="C29" s="1">
        <v>1027</v>
      </c>
      <c r="D29" s="1" t="s">
        <v>15</v>
      </c>
      <c r="E29" s="1" t="s">
        <v>22</v>
      </c>
      <c r="F29" s="1" t="s">
        <v>13</v>
      </c>
      <c r="G29" s="1" t="s">
        <v>55</v>
      </c>
      <c r="H29" s="1" t="str">
        <f>VLOOKUP(G29, Listas!G:H, 2, FALSE)</f>
        <v>Pizza</v>
      </c>
      <c r="I29" s="1">
        <f>VLOOKUP(G29, Listas!G:I, 3, FALSE)</f>
        <v>22000</v>
      </c>
      <c r="J29" s="1">
        <v>2</v>
      </c>
      <c r="K29" s="8">
        <f t="shared" si="0"/>
        <v>44000</v>
      </c>
      <c r="S29" s="36"/>
      <c r="T29" s="37"/>
      <c r="U29" s="38"/>
      <c r="V29" s="29"/>
      <c r="W29" s="42"/>
      <c r="X29" s="42"/>
      <c r="Y29" s="42"/>
      <c r="Z29" s="29"/>
      <c r="AA29" s="42"/>
      <c r="AB29" s="42"/>
      <c r="AC29" s="42"/>
      <c r="AD29" s="42"/>
      <c r="AE29" s="42"/>
      <c r="AF29" s="29"/>
      <c r="AG29" s="23" t="s">
        <v>46</v>
      </c>
      <c r="AH29" s="31">
        <f>SUMIFS(Tabla5[Cantidad], Tabla5[Mes], $S$4, Tabla5[Producto], "Porción Napolitana")</f>
        <v>4</v>
      </c>
    </row>
    <row r="30" spans="1:34" ht="18.75">
      <c r="A30" s="2">
        <v>46051</v>
      </c>
      <c r="B30" s="14" t="str">
        <f>TEXT(Tabla5[[#This Row],[Fecha]],"MMMM")</f>
        <v>enero</v>
      </c>
      <c r="C30" s="1">
        <v>1028</v>
      </c>
      <c r="D30" s="1" t="s">
        <v>11</v>
      </c>
      <c r="E30" s="1" t="s">
        <v>26</v>
      </c>
      <c r="F30" s="1" t="s">
        <v>23</v>
      </c>
      <c r="G30" s="1" t="s">
        <v>50</v>
      </c>
      <c r="H30" s="1" t="str">
        <f>VLOOKUP(G30, Listas!G:H, 2, FALSE)</f>
        <v>Bebidas</v>
      </c>
      <c r="I30" s="1">
        <f>VLOOKUP(G30, Listas!G:I, 3, FALSE)</f>
        <v>4500</v>
      </c>
      <c r="J30" s="1">
        <v>2</v>
      </c>
      <c r="K30" s="8">
        <f t="shared" si="0"/>
        <v>9000</v>
      </c>
      <c r="S30" s="36"/>
      <c r="T30" s="37"/>
      <c r="U30" s="38"/>
      <c r="V30" s="29"/>
      <c r="W30" s="42"/>
      <c r="X30" s="42"/>
      <c r="Y30" s="42"/>
      <c r="Z30" s="29"/>
      <c r="AA30" s="42"/>
      <c r="AB30" s="42"/>
      <c r="AC30" s="42"/>
      <c r="AD30" s="42"/>
      <c r="AE30" s="42"/>
      <c r="AF30" s="29"/>
      <c r="AG30" s="23" t="s">
        <v>34</v>
      </c>
      <c r="AH30" s="31">
        <f>SUMIFS(Tabla5[Cantidad], Tabla5[Mes], $S$4, Tabla5[Producto], "Pizza Calabresa")</f>
        <v>9</v>
      </c>
    </row>
    <row r="31" spans="1:34" ht="18.75">
      <c r="A31" s="2">
        <v>46052</v>
      </c>
      <c r="B31" s="14" t="str">
        <f>TEXT(Tabla5[[#This Row],[Fecha]],"MMMM")</f>
        <v>enero</v>
      </c>
      <c r="C31" s="1">
        <v>1029</v>
      </c>
      <c r="D31" s="1" t="s">
        <v>21</v>
      </c>
      <c r="E31" s="1" t="s">
        <v>28</v>
      </c>
      <c r="F31" s="1" t="s">
        <v>17</v>
      </c>
      <c r="G31" s="1" t="s">
        <v>38</v>
      </c>
      <c r="H31" s="1" t="str">
        <f>VLOOKUP(G31, Listas!G:H, 2, FALSE)</f>
        <v>Pizza</v>
      </c>
      <c r="I31" s="1">
        <f>VLOOKUP(G31, Listas!G:I, 3, FALSE)</f>
        <v>18000</v>
      </c>
      <c r="J31" s="1">
        <v>4</v>
      </c>
      <c r="K31" s="8">
        <f t="shared" si="0"/>
        <v>72000</v>
      </c>
      <c r="S31" s="36"/>
      <c r="T31" s="37"/>
      <c r="U31" s="38"/>
      <c r="V31" s="29"/>
      <c r="W31" s="42"/>
      <c r="X31" s="42"/>
      <c r="Y31" s="42"/>
      <c r="Z31" s="29"/>
      <c r="AA31" s="42"/>
      <c r="AB31" s="42"/>
      <c r="AC31" s="42"/>
      <c r="AD31" s="42"/>
      <c r="AE31" s="42"/>
      <c r="AF31" s="29"/>
      <c r="AG31" s="24" t="s">
        <v>55</v>
      </c>
      <c r="AH31" s="31">
        <f>SUMIFS(Tabla5[Cantidad], Tabla5[Mes], $S$4, Tabla5[Producto], "Pizza Jamón y Morrón")</f>
        <v>7</v>
      </c>
    </row>
    <row r="32" spans="1:34" ht="18.75">
      <c r="A32" s="2">
        <v>46053</v>
      </c>
      <c r="B32" s="14" t="str">
        <f>TEXT(Tabla5[[#This Row],[Fecha]],"MMMM")</f>
        <v>enero</v>
      </c>
      <c r="C32" s="1">
        <v>1030</v>
      </c>
      <c r="D32" s="1" t="s">
        <v>11</v>
      </c>
      <c r="E32" s="1" t="s">
        <v>12</v>
      </c>
      <c r="F32" s="1" t="s">
        <v>13</v>
      </c>
      <c r="G32" s="1" t="s">
        <v>59</v>
      </c>
      <c r="H32" s="1" t="str">
        <f>VLOOKUP(G32, Listas!G:H, 2, FALSE)</f>
        <v>Acompañamientos</v>
      </c>
      <c r="I32" s="1">
        <f>VLOOKUP(G32, Listas!G:I, 3, FALSE)</f>
        <v>2000</v>
      </c>
      <c r="J32" s="1">
        <v>1</v>
      </c>
      <c r="K32" s="8">
        <f t="shared" si="0"/>
        <v>2000</v>
      </c>
      <c r="S32" s="36"/>
      <c r="T32" s="37"/>
      <c r="U32" s="38"/>
      <c r="V32" s="29"/>
      <c r="W32" s="42"/>
      <c r="X32" s="42"/>
      <c r="Y32" s="42"/>
      <c r="Z32" s="29"/>
      <c r="AA32" s="42"/>
      <c r="AB32" s="42"/>
      <c r="AC32" s="42"/>
      <c r="AD32" s="42"/>
      <c r="AE32" s="42"/>
      <c r="AF32" s="29"/>
      <c r="AG32" s="23" t="s">
        <v>59</v>
      </c>
      <c r="AH32" s="31">
        <f>SUMIFS(Tabla5[Cantidad], Tabla5[Mes], $S$4, Tabla5[Producto], "Fainá clásica")</f>
        <v>4</v>
      </c>
    </row>
    <row r="33" spans="1:34" ht="18.75">
      <c r="A33" s="2">
        <v>46054</v>
      </c>
      <c r="B33" s="14" t="str">
        <f>TEXT(Tabla5[[#This Row],[Fecha]],"MMMM")</f>
        <v>febrero</v>
      </c>
      <c r="C33" s="1">
        <v>1031</v>
      </c>
      <c r="D33" s="1" t="s">
        <v>11</v>
      </c>
      <c r="E33" s="1" t="s">
        <v>16</v>
      </c>
      <c r="F33" s="1" t="s">
        <v>13</v>
      </c>
      <c r="G33" s="1" t="s">
        <v>61</v>
      </c>
      <c r="H33" s="1" t="str">
        <f>VLOOKUP(G33, Listas!G:H, 2, FALSE)</f>
        <v>Postres</v>
      </c>
      <c r="I33" s="1">
        <f>VLOOKUP(G33, Listas!G:I, 3, FALSE)</f>
        <v>3500</v>
      </c>
      <c r="J33" s="1">
        <v>2</v>
      </c>
      <c r="K33" s="8">
        <f t="shared" si="0"/>
        <v>7000</v>
      </c>
      <c r="S33" s="36"/>
      <c r="T33" s="37"/>
      <c r="U33" s="38"/>
      <c r="V33" s="29"/>
      <c r="W33" s="42"/>
      <c r="X33" s="42"/>
      <c r="Y33" s="42"/>
      <c r="Z33" s="29"/>
      <c r="AA33" s="42"/>
      <c r="AB33" s="42"/>
      <c r="AC33" s="42"/>
      <c r="AD33" s="42"/>
      <c r="AE33" s="42"/>
      <c r="AF33" s="29"/>
      <c r="AG33" s="23" t="s">
        <v>30</v>
      </c>
      <c r="AH33" s="31">
        <f>SUMIFS(Tabla5[Cantidad], Tabla5[Mes], $S$4, Tabla5[Producto], "Fainá con Verdeo")</f>
        <v>2</v>
      </c>
    </row>
    <row r="34" spans="1:34" ht="18.75">
      <c r="A34" s="2">
        <v>46055</v>
      </c>
      <c r="B34" s="14" t="str">
        <f>TEXT(Tabla5[[#This Row],[Fecha]],"MMMM")</f>
        <v>febrero</v>
      </c>
      <c r="C34" s="1">
        <v>1032</v>
      </c>
      <c r="D34" s="1" t="s">
        <v>11</v>
      </c>
      <c r="E34" s="1" t="s">
        <v>22</v>
      </c>
      <c r="F34" s="7" t="s">
        <v>23</v>
      </c>
      <c r="G34" s="1" t="s">
        <v>34</v>
      </c>
      <c r="H34" s="1" t="str">
        <f>VLOOKUP(G34, Listas!G:H, 2, FALSE)</f>
        <v>Pizza</v>
      </c>
      <c r="I34" s="1">
        <f>VLOOKUP(G34, Listas!G:I, 3, FALSE)</f>
        <v>20000</v>
      </c>
      <c r="J34" s="1">
        <v>3</v>
      </c>
      <c r="K34" s="8">
        <f t="shared" ref="K34:K65" si="2">I34*J34</f>
        <v>60000</v>
      </c>
      <c r="S34" s="36"/>
      <c r="T34" s="37"/>
      <c r="U34" s="38"/>
      <c r="V34" s="29"/>
      <c r="W34" s="42"/>
      <c r="X34" s="42"/>
      <c r="Y34" s="42"/>
      <c r="Z34" s="29"/>
      <c r="AA34" s="42"/>
      <c r="AB34" s="42"/>
      <c r="AC34" s="42"/>
      <c r="AD34" s="42"/>
      <c r="AE34" s="42"/>
      <c r="AF34" s="29"/>
      <c r="AG34" s="23" t="s">
        <v>64</v>
      </c>
      <c r="AH34" s="31">
        <f>SUMIFS(Tabla5[Cantidad], Tabla5[Mes], $S$4, Tabla5[Producto], "Empanada de Carne")</f>
        <v>4</v>
      </c>
    </row>
    <row r="35" spans="1:34" ht="18.75">
      <c r="A35" s="2">
        <v>46056</v>
      </c>
      <c r="B35" s="14" t="str">
        <f>TEXT(Tabla5[[#This Row],[Fecha]],"MMMM")</f>
        <v>febrero</v>
      </c>
      <c r="C35" s="1">
        <v>1033</v>
      </c>
      <c r="D35" s="1" t="s">
        <v>11</v>
      </c>
      <c r="E35" s="1" t="s">
        <v>26</v>
      </c>
      <c r="F35" s="1" t="s">
        <v>29</v>
      </c>
      <c r="G35" s="1" t="s">
        <v>24</v>
      </c>
      <c r="H35" s="1" t="str">
        <f>VLOOKUP(G35, Listas!G:H, 2, FALSE)</f>
        <v>Bebidas</v>
      </c>
      <c r="I35" s="1">
        <f>VLOOKUP(G35, Listas!G:I, 3, FALSE)</f>
        <v>1800</v>
      </c>
      <c r="J35" s="1">
        <v>2</v>
      </c>
      <c r="K35" s="8">
        <f t="shared" si="2"/>
        <v>3600</v>
      </c>
      <c r="S35" s="36"/>
      <c r="T35" s="37"/>
      <c r="U35" s="38"/>
      <c r="V35" s="29"/>
      <c r="W35" s="42"/>
      <c r="X35" s="42"/>
      <c r="Y35" s="42"/>
      <c r="Z35" s="29"/>
      <c r="AA35" s="42"/>
      <c r="AB35" s="42"/>
      <c r="AC35" s="42"/>
      <c r="AD35" s="42"/>
      <c r="AE35" s="42"/>
      <c r="AF35" s="29"/>
      <c r="AG35" s="24" t="s">
        <v>67</v>
      </c>
      <c r="AH35" s="31">
        <f>SUMIFS(Tabla5[Cantidad], Tabla5[Mes], $S$4, Tabla5[Producto], "Empanada de Jamón y Queso")</f>
        <v>0</v>
      </c>
    </row>
    <row r="36" spans="1:34" ht="18.75">
      <c r="A36" s="2">
        <v>46057</v>
      </c>
      <c r="B36" s="14" t="str">
        <f>TEXT(Tabla5[[#This Row],[Fecha]],"MMMM")</f>
        <v>febrero</v>
      </c>
      <c r="C36" s="1">
        <v>1034</v>
      </c>
      <c r="D36" s="1" t="s">
        <v>15</v>
      </c>
      <c r="E36" s="1" t="s">
        <v>28</v>
      </c>
      <c r="F36" s="1" t="s">
        <v>29</v>
      </c>
      <c r="G36" s="1" t="s">
        <v>64</v>
      </c>
      <c r="H36" s="1" t="str">
        <f>VLOOKUP(G36, Listas!G:H, 2, FALSE)</f>
        <v>Acompañamientos</v>
      </c>
      <c r="I36" s="1">
        <f>VLOOKUP(G36, Listas!G:I, 3, FALSE)</f>
        <v>2200</v>
      </c>
      <c r="J36" s="1">
        <v>1</v>
      </c>
      <c r="K36" s="8">
        <f t="shared" si="2"/>
        <v>2200</v>
      </c>
      <c r="S36" s="36"/>
      <c r="T36" s="37"/>
      <c r="U36" s="38"/>
      <c r="V36" s="29"/>
      <c r="W36" s="42"/>
      <c r="X36" s="42"/>
      <c r="Y36" s="42"/>
      <c r="Z36" s="29"/>
      <c r="AA36" s="42"/>
      <c r="AB36" s="42"/>
      <c r="AC36" s="42"/>
      <c r="AD36" s="42"/>
      <c r="AE36" s="42"/>
      <c r="AF36" s="29"/>
      <c r="AG36" s="23" t="s">
        <v>27</v>
      </c>
      <c r="AH36" s="31">
        <f>SUMIFS(Tabla5[Cantidad], Tabla5[Mes], $S$4, Tabla5[Producto], "Gaseosa 500ml")</f>
        <v>6</v>
      </c>
    </row>
    <row r="37" spans="1:34" ht="18.75">
      <c r="A37" s="2">
        <v>46058</v>
      </c>
      <c r="B37" s="14" t="str">
        <f>TEXT(Tabla5[[#This Row],[Fecha]],"MMMM")</f>
        <v>febrero</v>
      </c>
      <c r="C37" s="1">
        <v>1035</v>
      </c>
      <c r="D37" s="1" t="s">
        <v>21</v>
      </c>
      <c r="E37" s="1" t="s">
        <v>12</v>
      </c>
      <c r="F37" s="1" t="s">
        <v>68</v>
      </c>
      <c r="G37" s="1" t="s">
        <v>27</v>
      </c>
      <c r="H37" s="1" t="str">
        <f>VLOOKUP(G37, Listas!G:H, 2, FALSE)</f>
        <v>Bebidas</v>
      </c>
      <c r="I37" s="1">
        <f>VLOOKUP(G37, Listas!G:I, 3, FALSE)</f>
        <v>2500</v>
      </c>
      <c r="J37" s="1">
        <v>3</v>
      </c>
      <c r="K37" s="8">
        <f t="shared" si="2"/>
        <v>7500</v>
      </c>
      <c r="S37" s="36"/>
      <c r="T37" s="37"/>
      <c r="U37" s="38"/>
      <c r="V37" s="29"/>
      <c r="W37" s="42"/>
      <c r="X37" s="42"/>
      <c r="Y37" s="42"/>
      <c r="Z37" s="29"/>
      <c r="AA37" s="42"/>
      <c r="AB37" s="42"/>
      <c r="AC37" s="42"/>
      <c r="AD37" s="42"/>
      <c r="AE37" s="42"/>
      <c r="AF37" s="29"/>
      <c r="AG37" s="23" t="s">
        <v>50</v>
      </c>
      <c r="AH37" s="31">
        <f>SUMIFS(Tabla5[Cantidad], Tabla5[Mes], $S$4, Tabla5[Producto], "Cerveza Quilmes 1L")</f>
        <v>8</v>
      </c>
    </row>
    <row r="38" spans="1:34" ht="18.75">
      <c r="A38" s="2">
        <v>46059</v>
      </c>
      <c r="B38" s="14" t="str">
        <f>TEXT(Tabla5[[#This Row],[Fecha]],"MMMM")</f>
        <v>febrero</v>
      </c>
      <c r="C38" s="1">
        <v>1036</v>
      </c>
      <c r="D38" s="1" t="s">
        <v>21</v>
      </c>
      <c r="E38" s="1" t="s">
        <v>16</v>
      </c>
      <c r="F38" s="1" t="s">
        <v>13</v>
      </c>
      <c r="G38" s="7" t="s">
        <v>50</v>
      </c>
      <c r="H38" s="1" t="str">
        <f>VLOOKUP(G38, Listas!G:H, 2, FALSE)</f>
        <v>Bebidas</v>
      </c>
      <c r="I38" s="1">
        <f>VLOOKUP(G38, Listas!G:I, 3, FALSE)</f>
        <v>4500</v>
      </c>
      <c r="J38" s="1">
        <v>2</v>
      </c>
      <c r="K38" s="8">
        <f t="shared" si="2"/>
        <v>9000</v>
      </c>
      <c r="S38" s="39"/>
      <c r="T38" s="40"/>
      <c r="U38" s="41"/>
      <c r="V38" s="29"/>
      <c r="W38" s="42"/>
      <c r="X38" s="42"/>
      <c r="Y38" s="42"/>
      <c r="Z38" s="29"/>
      <c r="AA38" s="42"/>
      <c r="AB38" s="42"/>
      <c r="AC38" s="42"/>
      <c r="AD38" s="42"/>
      <c r="AE38" s="42"/>
      <c r="AF38" s="29"/>
      <c r="AG38" s="23" t="s">
        <v>24</v>
      </c>
      <c r="AH38" s="31">
        <f>SUMIFS(Tabla5[Cantidad], Tabla5[Mes], $S$4, Tabla5[Producto], "Agua Mineral")</f>
        <v>6</v>
      </c>
    </row>
    <row r="39" spans="1:34" ht="18.75">
      <c r="A39" s="2">
        <v>46060</v>
      </c>
      <c r="B39" s="14" t="str">
        <f>TEXT(Tabla5[[#This Row],[Fecha]],"MMMM")</f>
        <v>febrero</v>
      </c>
      <c r="C39" s="1">
        <v>1037</v>
      </c>
      <c r="D39" s="1" t="s">
        <v>11</v>
      </c>
      <c r="E39" s="1" t="s">
        <v>22</v>
      </c>
      <c r="F39" s="1" t="s">
        <v>17</v>
      </c>
      <c r="G39" s="1" t="s">
        <v>34</v>
      </c>
      <c r="H39" s="1" t="str">
        <f>VLOOKUP(G39, Listas!G:H, 2, FALSE)</f>
        <v>Pizza</v>
      </c>
      <c r="I39" s="1">
        <f>VLOOKUP(G39, Listas!G:I, 3, FALSE)</f>
        <v>20000</v>
      </c>
      <c r="J39" s="1">
        <v>5</v>
      </c>
      <c r="K39" s="8">
        <f t="shared" si="2"/>
        <v>100000</v>
      </c>
      <c r="S39" s="29"/>
      <c r="T39" s="29"/>
      <c r="U39" s="29"/>
      <c r="V39" s="29"/>
      <c r="W39" s="29"/>
      <c r="X39" s="29"/>
      <c r="Y39" s="29"/>
      <c r="Z39" s="29"/>
      <c r="AA39" s="42"/>
      <c r="AB39" s="42"/>
      <c r="AC39" s="42"/>
      <c r="AD39" s="42"/>
      <c r="AE39" s="42"/>
      <c r="AF39" s="29"/>
      <c r="AG39" s="23" t="s">
        <v>69</v>
      </c>
      <c r="AH39" s="31">
        <f>SUMIFS(Tabla5[Cantidad], Tabla5[Mes], $S$4, Tabla5[Producto], "Vino de la casa")</f>
        <v>0</v>
      </c>
    </row>
    <row r="40" spans="1:34" ht="18.75">
      <c r="A40" s="2">
        <v>46061</v>
      </c>
      <c r="B40" s="14" t="str">
        <f>TEXT(Tabla5[[#This Row],[Fecha]],"MMMM")</f>
        <v>febrero</v>
      </c>
      <c r="C40" s="1">
        <v>1038</v>
      </c>
      <c r="D40" s="1" t="s">
        <v>15</v>
      </c>
      <c r="E40" s="1" t="s">
        <v>26</v>
      </c>
      <c r="F40" s="1" t="s">
        <v>23</v>
      </c>
      <c r="G40" s="1" t="s">
        <v>55</v>
      </c>
      <c r="H40" s="1" t="str">
        <f>VLOOKUP(G40, Listas!G:H, 2, FALSE)</f>
        <v>Pizza</v>
      </c>
      <c r="I40" s="1">
        <f>VLOOKUP(G40, Listas!G:I, 3, FALSE)</f>
        <v>22000</v>
      </c>
      <c r="J40" s="1">
        <v>2</v>
      </c>
      <c r="K40" s="8">
        <f t="shared" si="2"/>
        <v>44000</v>
      </c>
      <c r="S40" s="29"/>
      <c r="T40" s="29"/>
      <c r="U40" s="29"/>
      <c r="V40" s="29"/>
      <c r="W40" s="29"/>
      <c r="X40" s="29"/>
      <c r="Y40" s="29"/>
      <c r="Z40" s="29"/>
      <c r="AA40" s="42"/>
      <c r="AB40" s="42"/>
      <c r="AC40" s="42"/>
      <c r="AD40" s="42"/>
      <c r="AE40" s="42"/>
      <c r="AF40" s="29"/>
      <c r="AG40" s="24" t="s">
        <v>61</v>
      </c>
      <c r="AH40" s="31">
        <f>SUMIFS(Tabla5[Cantidad], Tabla5[Mes], $S$4, Tabla5[Producto], "Flan con dulce de leche")</f>
        <v>3</v>
      </c>
    </row>
    <row r="41" spans="1:34" ht="18.75">
      <c r="A41" s="2">
        <v>46062</v>
      </c>
      <c r="B41" s="14" t="str">
        <f>TEXT(Tabla5[[#This Row],[Fecha]],"MMMM")</f>
        <v>febrero</v>
      </c>
      <c r="C41" s="1">
        <v>1039</v>
      </c>
      <c r="D41" s="1" t="s">
        <v>11</v>
      </c>
      <c r="E41" s="1" t="s">
        <v>28</v>
      </c>
      <c r="F41" s="1" t="s">
        <v>13</v>
      </c>
      <c r="G41" s="1" t="s">
        <v>50</v>
      </c>
      <c r="H41" s="1" t="str">
        <f>VLOOKUP(G41, Listas!G:H, 2, FALSE)</f>
        <v>Bebidas</v>
      </c>
      <c r="I41" s="1">
        <f>VLOOKUP(G41, Listas!G:I, 3, FALSE)</f>
        <v>4500</v>
      </c>
      <c r="J41" s="1">
        <v>4</v>
      </c>
      <c r="K41" s="8">
        <f t="shared" si="2"/>
        <v>18000</v>
      </c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3" t="s">
        <v>70</v>
      </c>
      <c r="AH41" s="31">
        <f>SUMIFS(Tabla5[Cantidad], Tabla5[Mes], $S$4, Tabla5[Producto], "Budín de pan")</f>
        <v>0</v>
      </c>
    </row>
    <row r="42" spans="1:34" ht="18.75">
      <c r="A42" s="2">
        <v>46063</v>
      </c>
      <c r="B42" s="14" t="str">
        <f>TEXT(Tabla5[[#This Row],[Fecha]],"MMMM")</f>
        <v>febrero</v>
      </c>
      <c r="C42" s="1">
        <v>1040</v>
      </c>
      <c r="D42" s="1" t="s">
        <v>21</v>
      </c>
      <c r="E42" s="1" t="s">
        <v>12</v>
      </c>
      <c r="F42" s="1" t="s">
        <v>17</v>
      </c>
      <c r="G42" s="1" t="s">
        <v>18</v>
      </c>
      <c r="H42" s="1" t="str">
        <f>VLOOKUP(G42, Listas!G:H, 2, FALSE)</f>
        <v>Pizza</v>
      </c>
      <c r="I42" s="1">
        <f>VLOOKUP(G42, Listas!G:I, 3, FALSE)</f>
        <v>21000</v>
      </c>
      <c r="J42" s="1">
        <v>2</v>
      </c>
      <c r="K42" s="8">
        <f t="shared" si="2"/>
        <v>42000</v>
      </c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3" t="s">
        <v>48</v>
      </c>
      <c r="AH42" s="31">
        <f>SUMIFS(Tabla5[Cantidad], Tabla5[Mes], $S$4, Tabla5[Producto], "Tiramisú")</f>
        <v>1</v>
      </c>
    </row>
    <row r="43" spans="1:34" ht="18.75">
      <c r="A43" s="2">
        <v>46064</v>
      </c>
      <c r="B43" s="14" t="str">
        <f>TEXT(Tabla5[[#This Row],[Fecha]],"MMMM")</f>
        <v>febrero</v>
      </c>
      <c r="C43" s="1">
        <v>1041</v>
      </c>
      <c r="D43" s="1" t="s">
        <v>11</v>
      </c>
      <c r="E43" s="1" t="s">
        <v>16</v>
      </c>
      <c r="F43" s="1" t="s">
        <v>13</v>
      </c>
      <c r="G43" s="1" t="s">
        <v>38</v>
      </c>
      <c r="H43" s="1" t="str">
        <f>VLOOKUP(G43, Listas!G:H, 2, FALSE)</f>
        <v>Pizza</v>
      </c>
      <c r="I43" s="1">
        <f>VLOOKUP(G43, Listas!G:I, 3, FALSE)</f>
        <v>18000</v>
      </c>
      <c r="J43" s="1">
        <v>1</v>
      </c>
      <c r="K43" s="8">
        <f t="shared" si="2"/>
        <v>18000</v>
      </c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4" t="s">
        <v>71</v>
      </c>
      <c r="AH43" s="31">
        <f>SUMIFS(Tabla5[Cantidad], Tabla5[Mes], $S$4, Tabla5[Producto], "Porción de Queso y Dulce")</f>
        <v>0</v>
      </c>
    </row>
    <row r="44" spans="1:34" ht="16.5">
      <c r="A44" s="2">
        <v>46065</v>
      </c>
      <c r="B44" s="14" t="str">
        <f>TEXT(Tabla5[[#This Row],[Fecha]],"MMMM")</f>
        <v>febrero</v>
      </c>
      <c r="C44" s="1">
        <v>1042</v>
      </c>
      <c r="D44" s="1" t="s">
        <v>11</v>
      </c>
      <c r="E44" s="1" t="s">
        <v>22</v>
      </c>
      <c r="F44" s="1" t="s">
        <v>23</v>
      </c>
      <c r="G44" s="1" t="s">
        <v>67</v>
      </c>
      <c r="H44" s="1" t="str">
        <f>VLOOKUP(G44, Listas!G:H, 2, FALSE)</f>
        <v>Acompañamientos</v>
      </c>
      <c r="I44" s="1">
        <f>VLOOKUP(G44, Listas!G:I, 3, FALSE)</f>
        <v>2200</v>
      </c>
      <c r="J44" s="1">
        <v>2</v>
      </c>
      <c r="K44" s="8">
        <f t="shared" si="2"/>
        <v>4400</v>
      </c>
    </row>
    <row r="45" spans="1:34" ht="16.5">
      <c r="A45" s="2">
        <v>46066</v>
      </c>
      <c r="B45" s="14" t="str">
        <f>TEXT(Tabla5[[#This Row],[Fecha]],"MMMM")</f>
        <v>febrero</v>
      </c>
      <c r="C45" s="1">
        <v>1043</v>
      </c>
      <c r="D45" s="1" t="s">
        <v>11</v>
      </c>
      <c r="E45" s="1" t="s">
        <v>26</v>
      </c>
      <c r="F45" s="1" t="s">
        <v>17</v>
      </c>
      <c r="G45" s="1" t="s">
        <v>61</v>
      </c>
      <c r="H45" s="1" t="str">
        <f>VLOOKUP(G45, Listas!G:H, 2, FALSE)</f>
        <v>Postres</v>
      </c>
      <c r="I45" s="1">
        <f>VLOOKUP(G45, Listas!G:I, 3, FALSE)</f>
        <v>3500</v>
      </c>
      <c r="J45" s="1">
        <v>1</v>
      </c>
      <c r="K45" s="8">
        <f t="shared" si="2"/>
        <v>3500</v>
      </c>
    </row>
    <row r="46" spans="1:34" ht="16.5">
      <c r="A46" s="2">
        <v>46067</v>
      </c>
      <c r="B46" s="14" t="str">
        <f>TEXT(Tabla5[[#This Row],[Fecha]],"MMMM")</f>
        <v>febrero</v>
      </c>
      <c r="C46" s="1">
        <v>1044</v>
      </c>
      <c r="D46" s="1" t="s">
        <v>11</v>
      </c>
      <c r="E46" s="1" t="s">
        <v>28</v>
      </c>
      <c r="F46" s="1" t="s">
        <v>13</v>
      </c>
      <c r="G46" s="1" t="s">
        <v>30</v>
      </c>
      <c r="H46" s="1" t="str">
        <f>VLOOKUP(G46, Listas!G:H, 2, FALSE)</f>
        <v>Acompañamientos</v>
      </c>
      <c r="I46" s="1">
        <f>VLOOKUP(G46, Listas!G:I, 3, FALSE)</f>
        <v>2400</v>
      </c>
      <c r="J46" s="1">
        <v>4</v>
      </c>
      <c r="K46" s="8">
        <f t="shared" si="2"/>
        <v>9600</v>
      </c>
    </row>
    <row r="47" spans="1:34" ht="16.5">
      <c r="A47" s="2">
        <v>46068</v>
      </c>
      <c r="B47" s="14" t="str">
        <f>TEXT(Tabla5[[#This Row],[Fecha]],"MMMM")</f>
        <v>febrero</v>
      </c>
      <c r="C47" s="1">
        <v>1045</v>
      </c>
      <c r="D47" s="1" t="s">
        <v>15</v>
      </c>
      <c r="E47" s="1" t="s">
        <v>12</v>
      </c>
      <c r="F47" s="1" t="s">
        <v>13</v>
      </c>
      <c r="G47" s="1" t="s">
        <v>67</v>
      </c>
      <c r="H47" s="1" t="str">
        <f>VLOOKUP(G47, Listas!G:H, 2, FALSE)</f>
        <v>Acompañamientos</v>
      </c>
      <c r="I47" s="1">
        <f>VLOOKUP(G47, Listas!G:I, 3, FALSE)</f>
        <v>2200</v>
      </c>
      <c r="J47" s="1">
        <v>3</v>
      </c>
      <c r="K47" s="8">
        <f t="shared" si="2"/>
        <v>6600</v>
      </c>
    </row>
    <row r="48" spans="1:34" ht="16.5">
      <c r="A48" s="2">
        <v>46069</v>
      </c>
      <c r="B48" s="14" t="str">
        <f>TEXT(Tabla5[[#This Row],[Fecha]],"MMMM")</f>
        <v>febrero</v>
      </c>
      <c r="C48" s="1">
        <v>1046</v>
      </c>
      <c r="D48" s="1" t="s">
        <v>21</v>
      </c>
      <c r="E48" s="1" t="s">
        <v>16</v>
      </c>
      <c r="F48" s="1" t="s">
        <v>68</v>
      </c>
      <c r="G48" s="1" t="s">
        <v>27</v>
      </c>
      <c r="H48" s="1" t="str">
        <f>VLOOKUP(G48, Listas!G:H, 2, FALSE)</f>
        <v>Bebidas</v>
      </c>
      <c r="I48" s="1">
        <f>VLOOKUP(G48, Listas!G:I, 3, FALSE)</f>
        <v>2500</v>
      </c>
      <c r="J48" s="1">
        <v>2</v>
      </c>
      <c r="K48" s="8">
        <f t="shared" si="2"/>
        <v>5000</v>
      </c>
    </row>
    <row r="49" spans="1:11" ht="16.5">
      <c r="A49" s="2">
        <v>46070</v>
      </c>
      <c r="B49" s="14" t="str">
        <f>TEXT(Tabla5[[#This Row],[Fecha]],"MMMM")</f>
        <v>febrero</v>
      </c>
      <c r="C49" s="1">
        <v>1047</v>
      </c>
      <c r="D49" s="1" t="s">
        <v>21</v>
      </c>
      <c r="E49" s="1" t="s">
        <v>22</v>
      </c>
      <c r="F49" s="1" t="s">
        <v>13</v>
      </c>
      <c r="G49" s="1" t="s">
        <v>18</v>
      </c>
      <c r="H49" s="1" t="str">
        <f>VLOOKUP(G49, Listas!G:H, 2, FALSE)</f>
        <v>Pizza</v>
      </c>
      <c r="I49" s="1">
        <f>VLOOKUP(G49, Listas!G:I, 3, FALSE)</f>
        <v>21000</v>
      </c>
      <c r="J49" s="1">
        <v>2</v>
      </c>
      <c r="K49" s="8">
        <f t="shared" si="2"/>
        <v>42000</v>
      </c>
    </row>
    <row r="50" spans="1:11" ht="16.5">
      <c r="A50" s="2">
        <v>46071</v>
      </c>
      <c r="B50" s="14" t="str">
        <f>TEXT(Tabla5[[#This Row],[Fecha]],"MMMM")</f>
        <v>febrero</v>
      </c>
      <c r="C50" s="1">
        <v>1048</v>
      </c>
      <c r="D50" s="1" t="s">
        <v>11</v>
      </c>
      <c r="E50" s="1" t="s">
        <v>26</v>
      </c>
      <c r="F50" s="1" t="s">
        <v>17</v>
      </c>
      <c r="G50" s="1" t="s">
        <v>38</v>
      </c>
      <c r="H50" s="1" t="str">
        <f>VLOOKUP(G50, Listas!G:H, 2, FALSE)</f>
        <v>Pizza</v>
      </c>
      <c r="I50" s="1">
        <f>VLOOKUP(G50, Listas!G:I, 3, FALSE)</f>
        <v>18000</v>
      </c>
      <c r="J50" s="1">
        <v>3</v>
      </c>
      <c r="K50" s="8">
        <f t="shared" si="2"/>
        <v>54000</v>
      </c>
    </row>
    <row r="51" spans="1:11" ht="16.5">
      <c r="A51" s="2">
        <v>46072</v>
      </c>
      <c r="B51" s="14" t="str">
        <f>TEXT(Tabla5[[#This Row],[Fecha]],"MMMM")</f>
        <v>febrero</v>
      </c>
      <c r="C51" s="1">
        <v>1049</v>
      </c>
      <c r="D51" s="1" t="s">
        <v>15</v>
      </c>
      <c r="E51" s="1" t="s">
        <v>28</v>
      </c>
      <c r="F51" s="1" t="s">
        <v>13</v>
      </c>
      <c r="G51" s="1" t="s">
        <v>67</v>
      </c>
      <c r="H51" s="1" t="str">
        <f>VLOOKUP(G51, Listas!G:H, 2, FALSE)</f>
        <v>Acompañamientos</v>
      </c>
      <c r="I51" s="1">
        <f>VLOOKUP(G51, Listas!G:I, 3, FALSE)</f>
        <v>2200</v>
      </c>
      <c r="J51" s="1">
        <v>1</v>
      </c>
      <c r="K51" s="8">
        <f t="shared" si="2"/>
        <v>2200</v>
      </c>
    </row>
    <row r="52" spans="1:11" ht="16.5">
      <c r="A52" s="2">
        <v>46073</v>
      </c>
      <c r="B52" s="14" t="str">
        <f>TEXT(Tabla5[[#This Row],[Fecha]],"MMMM")</f>
        <v>febrero</v>
      </c>
      <c r="C52" s="1">
        <v>1050</v>
      </c>
      <c r="D52" s="1" t="s">
        <v>11</v>
      </c>
      <c r="E52" s="1" t="s">
        <v>12</v>
      </c>
      <c r="F52" s="1" t="s">
        <v>23</v>
      </c>
      <c r="G52" s="1" t="s">
        <v>61</v>
      </c>
      <c r="H52" s="1" t="str">
        <f>VLOOKUP(G52, Listas!G:H, 2, FALSE)</f>
        <v>Postres</v>
      </c>
      <c r="I52" s="1">
        <f>VLOOKUP(G52, Listas!G:I, 3, FALSE)</f>
        <v>3500</v>
      </c>
      <c r="J52" s="1">
        <v>3</v>
      </c>
      <c r="K52" s="8">
        <f t="shared" si="2"/>
        <v>10500</v>
      </c>
    </row>
    <row r="53" spans="1:11" ht="16.5">
      <c r="A53" s="2">
        <v>46074</v>
      </c>
      <c r="B53" s="14" t="str">
        <f>TEXT(Tabla5[[#This Row],[Fecha]],"MMMM")</f>
        <v>febrero</v>
      </c>
      <c r="C53" s="1">
        <v>1051</v>
      </c>
      <c r="D53" s="1" t="s">
        <v>21</v>
      </c>
      <c r="E53" s="1" t="s">
        <v>16</v>
      </c>
      <c r="F53" s="1" t="s">
        <v>17</v>
      </c>
      <c r="G53" s="1" t="s">
        <v>30</v>
      </c>
      <c r="H53" s="1" t="str">
        <f>VLOOKUP(G53, Listas!G:H, 2, FALSE)</f>
        <v>Acompañamientos</v>
      </c>
      <c r="I53" s="1">
        <f>VLOOKUP(G53, Listas!G:I, 3, FALSE)</f>
        <v>2400</v>
      </c>
      <c r="J53" s="1">
        <v>6</v>
      </c>
      <c r="K53" s="8">
        <f t="shared" si="2"/>
        <v>14400</v>
      </c>
    </row>
    <row r="54" spans="1:11" ht="16.5">
      <c r="A54" s="2">
        <v>46075</v>
      </c>
      <c r="B54" s="14" t="str">
        <f>TEXT(Tabla5[[#This Row],[Fecha]],"MMMM")</f>
        <v>febrero</v>
      </c>
      <c r="C54" s="1">
        <v>1052</v>
      </c>
      <c r="D54" s="1" t="s">
        <v>11</v>
      </c>
      <c r="E54" s="1" t="s">
        <v>22</v>
      </c>
      <c r="F54" s="1" t="s">
        <v>13</v>
      </c>
      <c r="G54" s="1" t="s">
        <v>67</v>
      </c>
      <c r="H54" s="1" t="str">
        <f>VLOOKUP(G54, Listas!G:H, 2, FALSE)</f>
        <v>Acompañamientos</v>
      </c>
      <c r="I54" s="1">
        <f>VLOOKUP(G54, Listas!G:I, 3, FALSE)</f>
        <v>2200</v>
      </c>
      <c r="J54" s="1">
        <v>3</v>
      </c>
      <c r="K54" s="8">
        <f t="shared" si="2"/>
        <v>6600</v>
      </c>
    </row>
    <row r="55" spans="1:11" ht="16.5">
      <c r="A55" s="2">
        <v>46076</v>
      </c>
      <c r="B55" s="14" t="str">
        <f>TEXT(Tabla5[[#This Row],[Fecha]],"MMMM")</f>
        <v>febrero</v>
      </c>
      <c r="C55" s="1">
        <v>1053</v>
      </c>
      <c r="D55" s="1" t="s">
        <v>11</v>
      </c>
      <c r="E55" s="1" t="s">
        <v>26</v>
      </c>
      <c r="F55" s="1" t="s">
        <v>13</v>
      </c>
      <c r="G55" s="1" t="s">
        <v>27</v>
      </c>
      <c r="H55" s="1" t="str">
        <f>VLOOKUP(G55, Listas!G:H, 2, FALSE)</f>
        <v>Bebidas</v>
      </c>
      <c r="I55" s="1">
        <f>VLOOKUP(G55, Listas!G:I, 3, FALSE)</f>
        <v>2500</v>
      </c>
      <c r="J55" s="1">
        <v>2</v>
      </c>
      <c r="K55" s="8">
        <f t="shared" si="2"/>
        <v>5000</v>
      </c>
    </row>
    <row r="56" spans="1:11" ht="16.5">
      <c r="A56" s="2">
        <v>46077</v>
      </c>
      <c r="B56" s="14" t="str">
        <f>TEXT(Tabla5[[#This Row],[Fecha]],"MMMM")</f>
        <v>febrero</v>
      </c>
      <c r="C56" s="1">
        <v>1054</v>
      </c>
      <c r="D56" s="1" t="s">
        <v>11</v>
      </c>
      <c r="E56" s="1" t="s">
        <v>28</v>
      </c>
      <c r="F56" s="1" t="s">
        <v>23</v>
      </c>
      <c r="G56" s="1" t="s">
        <v>18</v>
      </c>
      <c r="H56" s="1" t="str">
        <f>VLOOKUP(G56, Listas!G:H, 2, FALSE)</f>
        <v>Pizza</v>
      </c>
      <c r="I56" s="1">
        <f>VLOOKUP(G56, Listas!G:I, 3, FALSE)</f>
        <v>21000</v>
      </c>
      <c r="J56" s="1">
        <v>1</v>
      </c>
      <c r="K56" s="8">
        <f t="shared" si="2"/>
        <v>21000</v>
      </c>
    </row>
    <row r="57" spans="1:11" ht="16.5">
      <c r="A57" s="2">
        <v>46078</v>
      </c>
      <c r="B57" s="14" t="str">
        <f>TEXT(Tabla5[[#This Row],[Fecha]],"MMMM")</f>
        <v>febrero</v>
      </c>
      <c r="C57" s="1">
        <v>1055</v>
      </c>
      <c r="D57" s="1" t="s">
        <v>11</v>
      </c>
      <c r="E57" s="1" t="s">
        <v>12</v>
      </c>
      <c r="F57" s="1" t="s">
        <v>13</v>
      </c>
      <c r="G57" s="1" t="s">
        <v>38</v>
      </c>
      <c r="H57" s="1" t="str">
        <f>VLOOKUP(G57, Listas!G:H, 2, FALSE)</f>
        <v>Pizza</v>
      </c>
      <c r="I57" s="1">
        <f>VLOOKUP(G57, Listas!G:I, 3, FALSE)</f>
        <v>18000</v>
      </c>
      <c r="J57" s="1">
        <v>3</v>
      </c>
      <c r="K57" s="8">
        <f t="shared" si="2"/>
        <v>54000</v>
      </c>
    </row>
    <row r="58" spans="1:11" ht="16.5">
      <c r="A58" s="2">
        <v>46079</v>
      </c>
      <c r="B58" s="14" t="str">
        <f>TEXT(Tabla5[[#This Row],[Fecha]],"MMMM")</f>
        <v>febrero</v>
      </c>
      <c r="C58" s="1">
        <v>1056</v>
      </c>
      <c r="D58" s="1" t="s">
        <v>15</v>
      </c>
      <c r="E58" s="1" t="s">
        <v>16</v>
      </c>
      <c r="F58" s="1" t="s">
        <v>17</v>
      </c>
      <c r="G58" s="1" t="s">
        <v>67</v>
      </c>
      <c r="H58" s="1" t="str">
        <f>VLOOKUP(G58, Listas!G:H, 2, FALSE)</f>
        <v>Acompañamientos</v>
      </c>
      <c r="I58" s="1">
        <f>VLOOKUP(G58, Listas!G:I, 3, FALSE)</f>
        <v>2200</v>
      </c>
      <c r="J58" s="1">
        <v>2</v>
      </c>
      <c r="K58" s="8">
        <f t="shared" si="2"/>
        <v>4400</v>
      </c>
    </row>
    <row r="59" spans="1:11" ht="16.5">
      <c r="A59" s="2">
        <v>46080</v>
      </c>
      <c r="B59" s="14" t="str">
        <f>TEXT(Tabla5[[#This Row],[Fecha]],"MMMM")</f>
        <v>febrero</v>
      </c>
      <c r="C59" s="1">
        <v>1057</v>
      </c>
      <c r="D59" s="1" t="s">
        <v>21</v>
      </c>
      <c r="E59" s="1" t="s">
        <v>22</v>
      </c>
      <c r="F59" s="1" t="s">
        <v>13</v>
      </c>
      <c r="G59" s="1" t="s">
        <v>61</v>
      </c>
      <c r="H59" s="1" t="str">
        <f>VLOOKUP(G59, Listas!G:H, 2, FALSE)</f>
        <v>Postres</v>
      </c>
      <c r="I59" s="1">
        <f>VLOOKUP(G59, Listas!G:I, 3, FALSE)</f>
        <v>3500</v>
      </c>
      <c r="J59" s="1">
        <v>1</v>
      </c>
      <c r="K59" s="8">
        <f t="shared" si="2"/>
        <v>3500</v>
      </c>
    </row>
    <row r="60" spans="1:11" ht="16.5">
      <c r="A60" s="2">
        <v>46081</v>
      </c>
      <c r="B60" s="14" t="str">
        <f>TEXT(Tabla5[[#This Row],[Fecha]],"MMMM")</f>
        <v>febrero</v>
      </c>
      <c r="C60" s="1">
        <v>1058</v>
      </c>
      <c r="D60" s="1" t="s">
        <v>21</v>
      </c>
      <c r="E60" s="1" t="s">
        <v>26</v>
      </c>
      <c r="F60" s="1" t="s">
        <v>23</v>
      </c>
      <c r="G60" s="1" t="s">
        <v>30</v>
      </c>
      <c r="H60" s="1" t="str">
        <f>VLOOKUP(G60, Listas!G:H, 2, FALSE)</f>
        <v>Acompañamientos</v>
      </c>
      <c r="I60" s="1">
        <f>VLOOKUP(G60, Listas!G:I, 3, FALSE)</f>
        <v>2400</v>
      </c>
      <c r="J60" s="1">
        <v>3</v>
      </c>
      <c r="K60" s="8">
        <f t="shared" si="2"/>
        <v>7200</v>
      </c>
    </row>
    <row r="61" spans="1:11" ht="16.5">
      <c r="A61" s="2">
        <v>46082</v>
      </c>
      <c r="B61" s="14" t="str">
        <f>TEXT(Tabla5[[#This Row],[Fecha]],"MMMM")</f>
        <v>marzo</v>
      </c>
      <c r="C61" s="1">
        <v>1059</v>
      </c>
      <c r="D61" s="1" t="s">
        <v>11</v>
      </c>
      <c r="E61" s="1" t="s">
        <v>28</v>
      </c>
      <c r="F61" s="1" t="s">
        <v>17</v>
      </c>
      <c r="G61" s="1" t="s">
        <v>67</v>
      </c>
      <c r="H61" s="1" t="str">
        <f>VLOOKUP(G61, Listas!G:H, 2, FALSE)</f>
        <v>Acompañamientos</v>
      </c>
      <c r="I61" s="1">
        <f>VLOOKUP(G61, Listas!G:I, 3, FALSE)</f>
        <v>2200</v>
      </c>
      <c r="J61" s="1">
        <v>2</v>
      </c>
      <c r="K61" s="8">
        <f t="shared" si="2"/>
        <v>4400</v>
      </c>
    </row>
    <row r="62" spans="1:11" ht="16.5">
      <c r="A62" s="2">
        <v>46083</v>
      </c>
      <c r="B62" s="14" t="str">
        <f>TEXT(Tabla5[[#This Row],[Fecha]],"MMMM")</f>
        <v>marzo</v>
      </c>
      <c r="C62" s="1">
        <v>1060</v>
      </c>
      <c r="D62" s="1" t="s">
        <v>15</v>
      </c>
      <c r="E62" s="1" t="s">
        <v>12</v>
      </c>
      <c r="F62" s="1" t="s">
        <v>13</v>
      </c>
      <c r="G62" s="1" t="s">
        <v>27</v>
      </c>
      <c r="H62" s="1" t="str">
        <f>VLOOKUP(G62, Listas!G:H, 2, FALSE)</f>
        <v>Bebidas</v>
      </c>
      <c r="I62" s="1">
        <f>VLOOKUP(G62, Listas!G:I, 3, FALSE)</f>
        <v>2500</v>
      </c>
      <c r="J62" s="1">
        <v>1</v>
      </c>
      <c r="K62" s="8">
        <f t="shared" si="2"/>
        <v>2500</v>
      </c>
    </row>
    <row r="63" spans="1:11" ht="16.5">
      <c r="A63" s="2">
        <v>46084</v>
      </c>
      <c r="B63" s="14" t="str">
        <f>TEXT(Tabla5[[#This Row],[Fecha]],"MMMM")</f>
        <v>marzo</v>
      </c>
      <c r="C63" s="1">
        <v>1061</v>
      </c>
      <c r="D63" s="1" t="s">
        <v>11</v>
      </c>
      <c r="E63" s="1" t="s">
        <v>16</v>
      </c>
      <c r="F63" s="1" t="s">
        <v>13</v>
      </c>
      <c r="G63" s="1" t="s">
        <v>18</v>
      </c>
      <c r="H63" s="1" t="str">
        <f>VLOOKUP(G63, Listas!G:H, 2, FALSE)</f>
        <v>Pizza</v>
      </c>
      <c r="I63" s="1">
        <f>VLOOKUP(G63, Listas!G:I, 3, FALSE)</f>
        <v>21000</v>
      </c>
      <c r="J63" s="1">
        <v>3</v>
      </c>
      <c r="K63" s="8">
        <f t="shared" si="2"/>
        <v>63000</v>
      </c>
    </row>
    <row r="64" spans="1:11" ht="16.5">
      <c r="A64" s="2">
        <v>46085</v>
      </c>
      <c r="B64" s="14" t="str">
        <f>TEXT(Tabla5[[#This Row],[Fecha]],"MMMM")</f>
        <v>marzo</v>
      </c>
      <c r="C64" s="1">
        <v>1062</v>
      </c>
      <c r="D64" s="1" t="s">
        <v>21</v>
      </c>
      <c r="E64" s="1" t="s">
        <v>22</v>
      </c>
      <c r="F64" s="1" t="s">
        <v>23</v>
      </c>
      <c r="G64" s="1" t="s">
        <v>38</v>
      </c>
      <c r="H64" s="1" t="str">
        <f>VLOOKUP(G64, Listas!G:H, 2, FALSE)</f>
        <v>Pizza</v>
      </c>
      <c r="I64" s="1">
        <f>VLOOKUP(G64, Listas!G:I, 3, FALSE)</f>
        <v>18000</v>
      </c>
      <c r="J64" s="1">
        <v>4</v>
      </c>
      <c r="K64" s="8">
        <f t="shared" si="2"/>
        <v>72000</v>
      </c>
    </row>
    <row r="65" spans="1:11" ht="16.5">
      <c r="A65" s="2">
        <v>46086</v>
      </c>
      <c r="B65" s="14" t="str">
        <f>TEXT(Tabla5[[#This Row],[Fecha]],"MMMM")</f>
        <v>marzo</v>
      </c>
      <c r="C65" s="1">
        <v>1063</v>
      </c>
      <c r="D65" s="1" t="s">
        <v>11</v>
      </c>
      <c r="E65" s="1" t="s">
        <v>26</v>
      </c>
      <c r="F65" s="1" t="s">
        <v>13</v>
      </c>
      <c r="G65" s="1" t="s">
        <v>67</v>
      </c>
      <c r="H65" s="1" t="str">
        <f>VLOOKUP(G65, Listas!G:H, 2, FALSE)</f>
        <v>Acompañamientos</v>
      </c>
      <c r="I65" s="1">
        <f>VLOOKUP(G65, Listas!G:I, 3, FALSE)</f>
        <v>2200</v>
      </c>
      <c r="J65" s="1">
        <v>3</v>
      </c>
      <c r="K65" s="8">
        <f t="shared" si="2"/>
        <v>6600</v>
      </c>
    </row>
    <row r="66" spans="1:11" ht="16.5">
      <c r="A66" s="2">
        <v>46087</v>
      </c>
      <c r="B66" s="14" t="str">
        <f>TEXT(Tabla5[[#This Row],[Fecha]],"MMMM")</f>
        <v>marzo</v>
      </c>
      <c r="C66" s="1">
        <v>1064</v>
      </c>
      <c r="D66" s="1" t="s">
        <v>11</v>
      </c>
      <c r="E66" s="1" t="s">
        <v>28</v>
      </c>
      <c r="F66" s="1" t="s">
        <v>17</v>
      </c>
      <c r="G66" s="1" t="s">
        <v>61</v>
      </c>
      <c r="H66" s="1" t="str">
        <f>VLOOKUP(G66, Listas!G:H, 2, FALSE)</f>
        <v>Postres</v>
      </c>
      <c r="I66" s="1">
        <f>VLOOKUP(G66, Listas!G:I, 3, FALSE)</f>
        <v>3500</v>
      </c>
      <c r="J66" s="1">
        <v>3</v>
      </c>
      <c r="K66" s="8">
        <f t="shared" ref="K66:K97" si="3">I66*J66</f>
        <v>10500</v>
      </c>
    </row>
    <row r="67" spans="1:11" ht="16.5">
      <c r="A67" s="2">
        <v>46088</v>
      </c>
      <c r="B67" s="14" t="str">
        <f>TEXT(Tabla5[[#This Row],[Fecha]],"MMMM")</f>
        <v>marzo</v>
      </c>
      <c r="C67" s="1">
        <v>1065</v>
      </c>
      <c r="D67" s="1" t="s">
        <v>11</v>
      </c>
      <c r="E67" s="1" t="s">
        <v>12</v>
      </c>
      <c r="F67" s="1" t="s">
        <v>13</v>
      </c>
      <c r="G67" s="1" t="s">
        <v>30</v>
      </c>
      <c r="H67" s="1" t="str">
        <f>VLOOKUP(G67, Listas!G:H, 2, FALSE)</f>
        <v>Acompañamientos</v>
      </c>
      <c r="I67" s="1">
        <f>VLOOKUP(G67, Listas!G:I, 3, FALSE)</f>
        <v>2400</v>
      </c>
      <c r="J67" s="1">
        <v>2</v>
      </c>
      <c r="K67" s="8">
        <f t="shared" si="3"/>
        <v>4800</v>
      </c>
    </row>
    <row r="68" spans="1:11" ht="16.5">
      <c r="A68" s="2">
        <v>46089</v>
      </c>
      <c r="B68" s="14" t="str">
        <f>TEXT(Tabla5[[#This Row],[Fecha]],"MMMM")</f>
        <v>marzo</v>
      </c>
      <c r="C68" s="1">
        <v>1066</v>
      </c>
      <c r="D68" s="1" t="s">
        <v>11</v>
      </c>
      <c r="E68" s="1" t="s">
        <v>16</v>
      </c>
      <c r="F68" s="1" t="s">
        <v>23</v>
      </c>
      <c r="G68" s="1" t="s">
        <v>67</v>
      </c>
      <c r="H68" s="1" t="str">
        <f>VLOOKUP(G68, Listas!G:H, 2, FALSE)</f>
        <v>Acompañamientos</v>
      </c>
      <c r="I68" s="1">
        <f>VLOOKUP(G68, Listas!G:I, 3, FALSE)</f>
        <v>2200</v>
      </c>
      <c r="J68" s="1">
        <v>2</v>
      </c>
      <c r="K68" s="8">
        <f t="shared" si="3"/>
        <v>4400</v>
      </c>
    </row>
    <row r="69" spans="1:11" ht="16.5">
      <c r="A69" s="2">
        <v>46090</v>
      </c>
      <c r="B69" s="14" t="str">
        <f>TEXT(Tabla5[[#This Row],[Fecha]],"MMMM")</f>
        <v>marzo</v>
      </c>
      <c r="C69" s="1">
        <v>1067</v>
      </c>
      <c r="D69" s="1" t="s">
        <v>15</v>
      </c>
      <c r="E69" s="1" t="s">
        <v>22</v>
      </c>
      <c r="F69" s="1" t="s">
        <v>17</v>
      </c>
      <c r="G69" s="1" t="s">
        <v>27</v>
      </c>
      <c r="H69" s="1" t="str">
        <f>VLOOKUP(G69, Listas!G:H, 2, FALSE)</f>
        <v>Bebidas</v>
      </c>
      <c r="I69" s="1">
        <f>VLOOKUP(G69, Listas!G:I, 3, FALSE)</f>
        <v>2500</v>
      </c>
      <c r="J69" s="1">
        <v>3</v>
      </c>
      <c r="K69" s="8">
        <f t="shared" si="3"/>
        <v>7500</v>
      </c>
    </row>
    <row r="70" spans="1:11" ht="16.5">
      <c r="A70" s="2">
        <v>46091</v>
      </c>
      <c r="B70" s="14" t="str">
        <f>TEXT(Tabla5[[#This Row],[Fecha]],"MMMM")</f>
        <v>marzo</v>
      </c>
      <c r="C70" s="1">
        <v>1068</v>
      </c>
      <c r="D70" s="1" t="s">
        <v>21</v>
      </c>
      <c r="E70" s="1" t="s">
        <v>26</v>
      </c>
      <c r="F70" s="1" t="s">
        <v>13</v>
      </c>
      <c r="G70" s="1" t="s">
        <v>18</v>
      </c>
      <c r="H70" s="1" t="str">
        <f>VLOOKUP(G70, Listas!G:H, 2, FALSE)</f>
        <v>Pizza</v>
      </c>
      <c r="I70" s="1">
        <f>VLOOKUP(G70, Listas!G:I, 3, FALSE)</f>
        <v>21000</v>
      </c>
      <c r="J70" s="1">
        <v>4</v>
      </c>
      <c r="K70" s="8">
        <f t="shared" si="3"/>
        <v>84000</v>
      </c>
    </row>
    <row r="71" spans="1:11" ht="16.5">
      <c r="A71" s="2">
        <v>46092</v>
      </c>
      <c r="B71" s="14" t="str">
        <f>TEXT(Tabla5[[#This Row],[Fecha]],"MMMM")</f>
        <v>marzo</v>
      </c>
      <c r="C71" s="1">
        <v>1069</v>
      </c>
      <c r="D71" s="1" t="s">
        <v>21</v>
      </c>
      <c r="E71" s="1" t="s">
        <v>28</v>
      </c>
      <c r="F71" s="1" t="s">
        <v>23</v>
      </c>
      <c r="G71" s="1" t="s">
        <v>38</v>
      </c>
      <c r="H71" s="1" t="str">
        <f>VLOOKUP(G71, Listas!G:H, 2, FALSE)</f>
        <v>Pizza</v>
      </c>
      <c r="I71" s="1">
        <f>VLOOKUP(G71, Listas!G:I, 3, FALSE)</f>
        <v>18000</v>
      </c>
      <c r="J71" s="1">
        <v>2</v>
      </c>
      <c r="K71" s="8">
        <f t="shared" si="3"/>
        <v>36000</v>
      </c>
    </row>
    <row r="72" spans="1:11" ht="16.5">
      <c r="A72" s="2">
        <v>46093</v>
      </c>
      <c r="B72" s="14" t="str">
        <f>TEXT(Tabla5[[#This Row],[Fecha]],"MMMM")</f>
        <v>marzo</v>
      </c>
      <c r="C72" s="1">
        <v>1070</v>
      </c>
      <c r="D72" s="1" t="s">
        <v>11</v>
      </c>
      <c r="E72" s="1" t="s">
        <v>12</v>
      </c>
      <c r="F72" s="1" t="s">
        <v>17</v>
      </c>
      <c r="G72" s="1" t="s">
        <v>67</v>
      </c>
      <c r="H72" s="1" t="str">
        <f>VLOOKUP(G72, Listas!G:H, 2, FALSE)</f>
        <v>Acompañamientos</v>
      </c>
      <c r="I72" s="1">
        <f>VLOOKUP(G72, Listas!G:I, 3, FALSE)</f>
        <v>2200</v>
      </c>
      <c r="J72" s="1">
        <v>2</v>
      </c>
      <c r="K72" s="8">
        <f t="shared" si="3"/>
        <v>4400</v>
      </c>
    </row>
    <row r="73" spans="1:11" ht="16.5">
      <c r="A73" s="2">
        <v>46094</v>
      </c>
      <c r="B73" s="14" t="str">
        <f>TEXT(Tabla5[[#This Row],[Fecha]],"MMMM")</f>
        <v>marzo</v>
      </c>
      <c r="C73" s="1">
        <v>1071</v>
      </c>
      <c r="D73" s="1" t="s">
        <v>15</v>
      </c>
      <c r="E73" s="1" t="s">
        <v>16</v>
      </c>
      <c r="F73" s="1" t="s">
        <v>13</v>
      </c>
      <c r="G73" s="1" t="s">
        <v>61</v>
      </c>
      <c r="H73" s="1" t="str">
        <f>VLOOKUP(G73, Listas!G:H, 2, FALSE)</f>
        <v>Postres</v>
      </c>
      <c r="I73" s="1">
        <f>VLOOKUP(G73, Listas!G:I, 3, FALSE)</f>
        <v>3500</v>
      </c>
      <c r="J73" s="1">
        <v>2</v>
      </c>
      <c r="K73" s="8">
        <f t="shared" si="3"/>
        <v>7000</v>
      </c>
    </row>
    <row r="74" spans="1:11" ht="16.5">
      <c r="A74" s="2">
        <v>46095</v>
      </c>
      <c r="B74" s="14" t="str">
        <f>TEXT(Tabla5[[#This Row],[Fecha]],"MMMM")</f>
        <v>marzo</v>
      </c>
      <c r="C74" s="1">
        <v>1072</v>
      </c>
      <c r="D74" s="1" t="s">
        <v>11</v>
      </c>
      <c r="E74" s="1" t="s">
        <v>22</v>
      </c>
      <c r="F74" s="1" t="s">
        <v>23</v>
      </c>
      <c r="G74" s="1" t="s">
        <v>30</v>
      </c>
      <c r="H74" s="1" t="str">
        <f>VLOOKUP(G74, Listas!G:H, 2, FALSE)</f>
        <v>Acompañamientos</v>
      </c>
      <c r="I74" s="1">
        <f>VLOOKUP(G74, Listas!G:I, 3, FALSE)</f>
        <v>2400</v>
      </c>
      <c r="J74" s="1">
        <v>2</v>
      </c>
      <c r="K74" s="8">
        <f t="shared" si="3"/>
        <v>4800</v>
      </c>
    </row>
    <row r="75" spans="1:11" ht="16.5">
      <c r="A75" s="2">
        <v>46096</v>
      </c>
      <c r="B75" s="14" t="str">
        <f>TEXT(Tabla5[[#This Row],[Fecha]],"MMMM")</f>
        <v>marzo</v>
      </c>
      <c r="C75" s="1">
        <v>1073</v>
      </c>
      <c r="D75" s="1" t="s">
        <v>21</v>
      </c>
      <c r="E75" s="1" t="s">
        <v>26</v>
      </c>
      <c r="F75" s="1" t="s">
        <v>17</v>
      </c>
      <c r="G75" s="1" t="s">
        <v>67</v>
      </c>
      <c r="H75" s="1" t="str">
        <f>VLOOKUP(G75, Listas!G:H, 2, FALSE)</f>
        <v>Acompañamientos</v>
      </c>
      <c r="I75" s="1">
        <f>VLOOKUP(G75, Listas!G:I, 3, FALSE)</f>
        <v>2200</v>
      </c>
      <c r="J75" s="1">
        <v>2</v>
      </c>
      <c r="K75" s="8">
        <f t="shared" si="3"/>
        <v>4400</v>
      </c>
    </row>
    <row r="76" spans="1:11" ht="16.5">
      <c r="A76" s="2">
        <v>46097</v>
      </c>
      <c r="B76" s="14" t="str">
        <f>TEXT(Tabla5[[#This Row],[Fecha]],"MMMM")</f>
        <v>marzo</v>
      </c>
      <c r="C76" s="1">
        <v>1074</v>
      </c>
      <c r="D76" s="1" t="s">
        <v>11</v>
      </c>
      <c r="E76" s="1" t="s">
        <v>28</v>
      </c>
      <c r="F76" s="1" t="s">
        <v>13</v>
      </c>
      <c r="G76" s="1" t="s">
        <v>27</v>
      </c>
      <c r="H76" s="1" t="str">
        <f>VLOOKUP(G76, Listas!G:H, 2, FALSE)</f>
        <v>Bebidas</v>
      </c>
      <c r="I76" s="1">
        <f>VLOOKUP(G76, Listas!G:I, 3, FALSE)</f>
        <v>2500</v>
      </c>
      <c r="J76" s="1">
        <v>3</v>
      </c>
      <c r="K76" s="8">
        <f t="shared" si="3"/>
        <v>7500</v>
      </c>
    </row>
    <row r="77" spans="1:11" ht="16.5">
      <c r="A77" s="2">
        <v>46098</v>
      </c>
      <c r="B77" s="14" t="str">
        <f>TEXT(Tabla5[[#This Row],[Fecha]],"MMMM")</f>
        <v>marzo</v>
      </c>
      <c r="C77" s="1">
        <v>1075</v>
      </c>
      <c r="D77" s="1" t="s">
        <v>11</v>
      </c>
      <c r="E77" s="1" t="s">
        <v>12</v>
      </c>
      <c r="F77" s="1" t="s">
        <v>23</v>
      </c>
      <c r="G77" s="1" t="s">
        <v>18</v>
      </c>
      <c r="H77" s="1" t="str">
        <f>VLOOKUP(G77, Listas!G:H, 2, FALSE)</f>
        <v>Pizza</v>
      </c>
      <c r="I77" s="1">
        <f>VLOOKUP(G77, Listas!G:I, 3, FALSE)</f>
        <v>21000</v>
      </c>
      <c r="J77" s="1">
        <v>3</v>
      </c>
      <c r="K77" s="8">
        <f t="shared" si="3"/>
        <v>63000</v>
      </c>
    </row>
    <row r="78" spans="1:11" ht="16.5">
      <c r="A78" s="2">
        <v>46099</v>
      </c>
      <c r="B78" s="14" t="str">
        <f>TEXT(Tabla5[[#This Row],[Fecha]],"MMMM")</f>
        <v>marzo</v>
      </c>
      <c r="C78" s="1">
        <v>1076</v>
      </c>
      <c r="D78" s="1" t="s">
        <v>11</v>
      </c>
      <c r="E78" s="1" t="s">
        <v>16</v>
      </c>
      <c r="F78" s="1" t="s">
        <v>17</v>
      </c>
      <c r="G78" s="1" t="s">
        <v>38</v>
      </c>
      <c r="H78" s="1" t="str">
        <f>VLOOKUP(G78, Listas!G:H, 2, FALSE)</f>
        <v>Pizza</v>
      </c>
      <c r="I78" s="1">
        <f>VLOOKUP(G78, Listas!G:I, 3, FALSE)</f>
        <v>18000</v>
      </c>
      <c r="J78" s="1">
        <v>2</v>
      </c>
      <c r="K78" s="8">
        <f t="shared" si="3"/>
        <v>36000</v>
      </c>
    </row>
    <row r="79" spans="1:11" ht="16.5">
      <c r="A79" s="2">
        <v>46100</v>
      </c>
      <c r="B79" s="14" t="str">
        <f>TEXT(Tabla5[[#This Row],[Fecha]],"MMMM")</f>
        <v>marzo</v>
      </c>
      <c r="C79" s="1">
        <v>1077</v>
      </c>
      <c r="D79" s="1" t="s">
        <v>11</v>
      </c>
      <c r="E79" s="1" t="s">
        <v>22</v>
      </c>
      <c r="F79" s="1" t="s">
        <v>13</v>
      </c>
      <c r="G79" s="1" t="s">
        <v>67</v>
      </c>
      <c r="H79" s="1" t="str">
        <f>VLOOKUP(G79, Listas!G:H, 2, FALSE)</f>
        <v>Acompañamientos</v>
      </c>
      <c r="I79" s="1">
        <f>VLOOKUP(G79, Listas!G:I, 3, FALSE)</f>
        <v>2200</v>
      </c>
      <c r="J79" s="1">
        <v>2</v>
      </c>
      <c r="K79" s="8">
        <f t="shared" si="3"/>
        <v>4400</v>
      </c>
    </row>
    <row r="80" spans="1:11" ht="16.5">
      <c r="A80" s="2">
        <v>46101</v>
      </c>
      <c r="B80" s="14" t="str">
        <f>TEXT(Tabla5[[#This Row],[Fecha]],"MMMM")</f>
        <v>marzo</v>
      </c>
      <c r="C80" s="1">
        <v>1078</v>
      </c>
      <c r="D80" s="1" t="s">
        <v>15</v>
      </c>
      <c r="E80" s="1" t="s">
        <v>26</v>
      </c>
      <c r="F80" s="1" t="s">
        <v>23</v>
      </c>
      <c r="G80" s="1" t="s">
        <v>61</v>
      </c>
      <c r="H80" s="1" t="str">
        <f>VLOOKUP(G80, Listas!G:H, 2, FALSE)</f>
        <v>Postres</v>
      </c>
      <c r="I80" s="1">
        <f>VLOOKUP(G80, Listas!G:I, 3, FALSE)</f>
        <v>3500</v>
      </c>
      <c r="J80" s="1">
        <v>2</v>
      </c>
      <c r="K80" s="8">
        <f t="shared" si="3"/>
        <v>7000</v>
      </c>
    </row>
    <row r="81" spans="1:11" ht="16.5">
      <c r="A81" s="2">
        <v>46102</v>
      </c>
      <c r="B81" s="14" t="str">
        <f>TEXT(Tabla5[[#This Row],[Fecha]],"MMMM")</f>
        <v>marzo</v>
      </c>
      <c r="C81" s="1">
        <v>1079</v>
      </c>
      <c r="D81" s="1" t="s">
        <v>21</v>
      </c>
      <c r="E81" s="1" t="s">
        <v>28</v>
      </c>
      <c r="F81" s="1" t="s">
        <v>17</v>
      </c>
      <c r="G81" s="1" t="s">
        <v>30</v>
      </c>
      <c r="H81" s="1" t="str">
        <f>VLOOKUP(G81, Listas!G:H, 2, FALSE)</f>
        <v>Acompañamientos</v>
      </c>
      <c r="I81" s="1">
        <f>VLOOKUP(G81, Listas!G:I, 3, FALSE)</f>
        <v>2400</v>
      </c>
      <c r="J81" s="1">
        <v>2</v>
      </c>
      <c r="K81" s="8">
        <f t="shared" si="3"/>
        <v>4800</v>
      </c>
    </row>
    <row r="82" spans="1:11" ht="16.5">
      <c r="A82" s="2">
        <v>46103</v>
      </c>
      <c r="B82" s="14" t="str">
        <f>TEXT(Tabla5[[#This Row],[Fecha]],"MMMM")</f>
        <v>marzo</v>
      </c>
      <c r="C82" s="1">
        <v>1080</v>
      </c>
      <c r="D82" s="1" t="s">
        <v>21</v>
      </c>
      <c r="E82" s="1" t="s">
        <v>12</v>
      </c>
      <c r="F82" s="1" t="s">
        <v>13</v>
      </c>
      <c r="G82" s="1" t="s">
        <v>67</v>
      </c>
      <c r="H82" s="1" t="str">
        <f>VLOOKUP(G82, Listas!G:H, 2, FALSE)</f>
        <v>Acompañamientos</v>
      </c>
      <c r="I82" s="1">
        <f>VLOOKUP(G82, Listas!G:I, 3, FALSE)</f>
        <v>2200</v>
      </c>
      <c r="J82" s="1">
        <v>2</v>
      </c>
      <c r="K82" s="8">
        <f t="shared" si="3"/>
        <v>4400</v>
      </c>
    </row>
    <row r="83" spans="1:11" ht="16.5">
      <c r="A83" s="2">
        <v>46104</v>
      </c>
      <c r="B83" s="14" t="str">
        <f>TEXT(Tabla5[[#This Row],[Fecha]],"MMMM")</f>
        <v>marzo</v>
      </c>
      <c r="C83" s="1">
        <v>1081</v>
      </c>
      <c r="D83" s="1" t="s">
        <v>11</v>
      </c>
      <c r="E83" s="1" t="s">
        <v>16</v>
      </c>
      <c r="F83" s="1" t="s">
        <v>23</v>
      </c>
      <c r="G83" s="1" t="s">
        <v>27</v>
      </c>
      <c r="H83" s="1" t="str">
        <f>VLOOKUP(G83, Listas!G:H, 2, FALSE)</f>
        <v>Bebidas</v>
      </c>
      <c r="I83" s="1">
        <f>VLOOKUP(G83, Listas!G:I, 3, FALSE)</f>
        <v>2500</v>
      </c>
      <c r="J83" s="1">
        <v>2</v>
      </c>
      <c r="K83" s="8">
        <f t="shared" si="3"/>
        <v>5000</v>
      </c>
    </row>
    <row r="84" spans="1:11" ht="16.5">
      <c r="A84" s="2">
        <v>46105</v>
      </c>
      <c r="B84" s="14" t="str">
        <f>TEXT(Tabla5[[#This Row],[Fecha]],"MMMM")</f>
        <v>marzo</v>
      </c>
      <c r="C84" s="1">
        <v>1082</v>
      </c>
      <c r="D84" s="1" t="s">
        <v>15</v>
      </c>
      <c r="E84" s="1" t="s">
        <v>22</v>
      </c>
      <c r="F84" s="1" t="s">
        <v>17</v>
      </c>
      <c r="G84" s="1" t="s">
        <v>18</v>
      </c>
      <c r="H84" s="1" t="str">
        <f>VLOOKUP(G84, Listas!G:H, 2, FALSE)</f>
        <v>Pizza</v>
      </c>
      <c r="I84" s="1">
        <f>VLOOKUP(G84, Listas!G:I, 3, FALSE)</f>
        <v>21000</v>
      </c>
      <c r="J84" s="1">
        <v>2</v>
      </c>
      <c r="K84" s="8">
        <f t="shared" si="3"/>
        <v>42000</v>
      </c>
    </row>
    <row r="85" spans="1:11" ht="16.5">
      <c r="A85" s="2">
        <v>46106</v>
      </c>
      <c r="B85" s="14" t="str">
        <f>TEXT(Tabla5[[#This Row],[Fecha]],"MMMM")</f>
        <v>marzo</v>
      </c>
      <c r="C85" s="1">
        <v>1083</v>
      </c>
      <c r="D85" s="1" t="s">
        <v>11</v>
      </c>
      <c r="E85" s="1" t="s">
        <v>26</v>
      </c>
      <c r="F85" s="1" t="s">
        <v>13</v>
      </c>
      <c r="G85" s="1" t="s">
        <v>38</v>
      </c>
      <c r="H85" s="1" t="str">
        <f>VLOOKUP(G85, Listas!G:H, 2, FALSE)</f>
        <v>Pizza</v>
      </c>
      <c r="I85" s="1">
        <f>VLOOKUP(G85, Listas!G:I, 3, FALSE)</f>
        <v>18000</v>
      </c>
      <c r="J85" s="1">
        <v>2</v>
      </c>
      <c r="K85" s="8">
        <f t="shared" si="3"/>
        <v>36000</v>
      </c>
    </row>
    <row r="86" spans="1:11" ht="16.5">
      <c r="A86" s="2">
        <v>46107</v>
      </c>
      <c r="B86" s="14" t="str">
        <f>TEXT(Tabla5[[#This Row],[Fecha]],"MMMM")</f>
        <v>marzo</v>
      </c>
      <c r="C86" s="1">
        <v>1084</v>
      </c>
      <c r="D86" s="1" t="s">
        <v>21</v>
      </c>
      <c r="E86" s="1" t="s">
        <v>28</v>
      </c>
      <c r="F86" s="1" t="s">
        <v>23</v>
      </c>
      <c r="G86" s="1" t="s">
        <v>67</v>
      </c>
      <c r="H86" s="1" t="str">
        <f>VLOOKUP(G86, Listas!G:H, 2, FALSE)</f>
        <v>Acompañamientos</v>
      </c>
      <c r="I86" s="1">
        <f>VLOOKUP(G86, Listas!G:I, 3, FALSE)</f>
        <v>2200</v>
      </c>
      <c r="J86" s="1">
        <v>2</v>
      </c>
      <c r="K86" s="8">
        <f t="shared" si="3"/>
        <v>4400</v>
      </c>
    </row>
    <row r="87" spans="1:11" ht="16.5">
      <c r="A87" s="2">
        <v>46108</v>
      </c>
      <c r="B87" s="14" t="str">
        <f>TEXT(Tabla5[[#This Row],[Fecha]],"MMMM")</f>
        <v>marzo</v>
      </c>
      <c r="C87" s="1">
        <v>1085</v>
      </c>
      <c r="D87" s="1" t="s">
        <v>11</v>
      </c>
      <c r="E87" s="1" t="s">
        <v>12</v>
      </c>
      <c r="F87" s="1" t="s">
        <v>17</v>
      </c>
      <c r="G87" s="1" t="s">
        <v>61</v>
      </c>
      <c r="H87" s="1" t="str">
        <f>VLOOKUP(G87, Listas!G:H, 2, FALSE)</f>
        <v>Postres</v>
      </c>
      <c r="I87" s="1">
        <f>VLOOKUP(G87, Listas!G:I, 3, FALSE)</f>
        <v>3500</v>
      </c>
      <c r="J87" s="1">
        <v>1</v>
      </c>
      <c r="K87" s="8">
        <f t="shared" si="3"/>
        <v>3500</v>
      </c>
    </row>
    <row r="88" spans="1:11" ht="16.5">
      <c r="A88" s="2">
        <v>46109</v>
      </c>
      <c r="B88" s="14" t="str">
        <f>TEXT(Tabla5[[#This Row],[Fecha]],"MMMM")</f>
        <v>marzo</v>
      </c>
      <c r="C88" s="1">
        <v>1086</v>
      </c>
      <c r="D88" s="1" t="s">
        <v>11</v>
      </c>
      <c r="E88" s="1" t="s">
        <v>16</v>
      </c>
      <c r="F88" s="1" t="s">
        <v>13</v>
      </c>
      <c r="G88" s="1" t="s">
        <v>30</v>
      </c>
      <c r="H88" s="1" t="str">
        <f>VLOOKUP(G88, Listas!G:H, 2, FALSE)</f>
        <v>Acompañamientos</v>
      </c>
      <c r="I88" s="1">
        <f>VLOOKUP(G88, Listas!G:I, 3, FALSE)</f>
        <v>2400</v>
      </c>
      <c r="J88" s="1">
        <v>2</v>
      </c>
      <c r="K88" s="8">
        <f t="shared" si="3"/>
        <v>4800</v>
      </c>
    </row>
    <row r="89" spans="1:11" ht="16.5">
      <c r="A89" s="2">
        <v>46110</v>
      </c>
      <c r="B89" s="14" t="str">
        <f>TEXT(Tabla5[[#This Row],[Fecha]],"MMMM")</f>
        <v>marzo</v>
      </c>
      <c r="C89" s="1">
        <v>1087</v>
      </c>
      <c r="D89" s="1" t="s">
        <v>11</v>
      </c>
      <c r="E89" s="1" t="s">
        <v>22</v>
      </c>
      <c r="F89" s="1" t="s">
        <v>23</v>
      </c>
      <c r="G89" s="1" t="s">
        <v>67</v>
      </c>
      <c r="H89" s="1" t="str">
        <f>VLOOKUP(G89, Listas!G:H, 2, FALSE)</f>
        <v>Acompañamientos</v>
      </c>
      <c r="I89" s="1">
        <f>VLOOKUP(G89, Listas!G:I, 3, FALSE)</f>
        <v>2200</v>
      </c>
      <c r="J89" s="1">
        <v>4</v>
      </c>
      <c r="K89" s="8">
        <f t="shared" si="3"/>
        <v>8800</v>
      </c>
    </row>
    <row r="90" spans="1:11" ht="16.5">
      <c r="A90" s="2">
        <v>46111</v>
      </c>
      <c r="B90" s="14" t="str">
        <f>TEXT(Tabla5[[#This Row],[Fecha]],"MMMM")</f>
        <v>marzo</v>
      </c>
      <c r="C90" s="1">
        <v>1088</v>
      </c>
      <c r="D90" s="1" t="s">
        <v>11</v>
      </c>
      <c r="E90" s="1" t="s">
        <v>26</v>
      </c>
      <c r="F90" s="1" t="s">
        <v>17</v>
      </c>
      <c r="G90" s="1" t="s">
        <v>27</v>
      </c>
      <c r="H90" s="1" t="str">
        <f>VLOOKUP(G90, Listas!G:H, 2, FALSE)</f>
        <v>Bebidas</v>
      </c>
      <c r="I90" s="1">
        <f>VLOOKUP(G90, Listas!G:I, 3, FALSE)</f>
        <v>2500</v>
      </c>
      <c r="J90" s="1">
        <v>3</v>
      </c>
      <c r="K90" s="8">
        <f t="shared" si="3"/>
        <v>7500</v>
      </c>
    </row>
    <row r="91" spans="1:11" ht="16.5">
      <c r="A91" s="2">
        <v>46112</v>
      </c>
      <c r="B91" s="14" t="str">
        <f>TEXT(Tabla5[[#This Row],[Fecha]],"MMMM")</f>
        <v>marzo</v>
      </c>
      <c r="C91" s="1">
        <v>1089</v>
      </c>
      <c r="D91" s="1" t="s">
        <v>15</v>
      </c>
      <c r="E91" s="1" t="s">
        <v>28</v>
      </c>
      <c r="F91" s="1" t="s">
        <v>13</v>
      </c>
      <c r="G91" s="1" t="s">
        <v>18</v>
      </c>
      <c r="H91" s="1" t="str">
        <f>VLOOKUP(G91, Listas!G:H, 2, FALSE)</f>
        <v>Pizza</v>
      </c>
      <c r="I91" s="1">
        <f>VLOOKUP(G91, Listas!G:I, 3, FALSE)</f>
        <v>21000</v>
      </c>
      <c r="J91" s="1">
        <v>6</v>
      </c>
      <c r="K91" s="8">
        <f t="shared" si="3"/>
        <v>126000</v>
      </c>
    </row>
    <row r="92" spans="1:11" ht="16.5">
      <c r="A92" s="2">
        <v>46113</v>
      </c>
      <c r="B92" s="14" t="str">
        <f>TEXT(Tabla5[[#This Row],[Fecha]],"MMMM")</f>
        <v>abril</v>
      </c>
      <c r="C92" s="1">
        <v>1090</v>
      </c>
      <c r="D92" s="1" t="s">
        <v>21</v>
      </c>
      <c r="E92" s="1" t="s">
        <v>12</v>
      </c>
      <c r="F92" s="1" t="s">
        <v>23</v>
      </c>
      <c r="G92" s="1" t="s">
        <v>38</v>
      </c>
      <c r="H92" s="1" t="str">
        <f>VLOOKUP(G92, Listas!G:H, 2, FALSE)</f>
        <v>Pizza</v>
      </c>
      <c r="I92" s="1">
        <f>VLOOKUP(G92, Listas!G:I, 3, FALSE)</f>
        <v>18000</v>
      </c>
      <c r="J92" s="1">
        <v>7</v>
      </c>
      <c r="K92" s="8">
        <f t="shared" si="3"/>
        <v>126000</v>
      </c>
    </row>
    <row r="93" spans="1:11" ht="16.5">
      <c r="A93" s="2">
        <v>46114</v>
      </c>
      <c r="B93" s="14" t="str">
        <f>TEXT(Tabla5[[#This Row],[Fecha]],"MMMM")</f>
        <v>abril</v>
      </c>
      <c r="C93" s="1">
        <v>1091</v>
      </c>
      <c r="D93" s="1" t="s">
        <v>21</v>
      </c>
      <c r="E93" s="1" t="s">
        <v>16</v>
      </c>
      <c r="F93" s="1" t="s">
        <v>17</v>
      </c>
      <c r="G93" s="1" t="s">
        <v>67</v>
      </c>
      <c r="H93" s="1" t="str">
        <f>VLOOKUP(G93, Listas!G:H, 2, FALSE)</f>
        <v>Acompañamientos</v>
      </c>
      <c r="I93" s="1">
        <f>VLOOKUP(G93, Listas!G:I, 3, FALSE)</f>
        <v>2200</v>
      </c>
      <c r="J93" s="1">
        <v>6</v>
      </c>
      <c r="K93" s="8">
        <f t="shared" si="3"/>
        <v>13200</v>
      </c>
    </row>
    <row r="94" spans="1:11" ht="16.5">
      <c r="A94" s="2">
        <v>46115</v>
      </c>
      <c r="B94" s="14" t="str">
        <f>TEXT(Tabla5[[#This Row],[Fecha]],"MMMM")</f>
        <v>abril</v>
      </c>
      <c r="C94" s="1">
        <v>1092</v>
      </c>
      <c r="D94" s="1" t="s">
        <v>11</v>
      </c>
      <c r="E94" s="1" t="s">
        <v>22</v>
      </c>
      <c r="F94" s="1" t="s">
        <v>13</v>
      </c>
      <c r="G94" s="1" t="s">
        <v>61</v>
      </c>
      <c r="H94" s="1" t="str">
        <f>VLOOKUP(G94, Listas!G:H, 2, FALSE)</f>
        <v>Postres</v>
      </c>
      <c r="I94" s="1">
        <f>VLOOKUP(G94, Listas!G:I, 3, FALSE)</f>
        <v>3500</v>
      </c>
      <c r="J94" s="1">
        <v>2</v>
      </c>
      <c r="K94" s="8">
        <f t="shared" si="3"/>
        <v>7000</v>
      </c>
    </row>
    <row r="95" spans="1:11" ht="16.5">
      <c r="A95" s="2">
        <v>46116</v>
      </c>
      <c r="B95" s="14" t="str">
        <f>TEXT(Tabla5[[#This Row],[Fecha]],"MMMM")</f>
        <v>abril</v>
      </c>
      <c r="C95" s="1">
        <v>1093</v>
      </c>
      <c r="D95" s="1" t="s">
        <v>15</v>
      </c>
      <c r="E95" s="1" t="s">
        <v>26</v>
      </c>
      <c r="F95" s="1" t="s">
        <v>23</v>
      </c>
      <c r="G95" s="1" t="s">
        <v>30</v>
      </c>
      <c r="H95" s="1" t="str">
        <f>VLOOKUP(G95, Listas!G:H, 2, FALSE)</f>
        <v>Acompañamientos</v>
      </c>
      <c r="I95" s="1">
        <f>VLOOKUP(G95, Listas!G:I, 3, FALSE)</f>
        <v>2400</v>
      </c>
      <c r="J95" s="1">
        <v>1</v>
      </c>
      <c r="K95" s="8">
        <f t="shared" si="3"/>
        <v>2400</v>
      </c>
    </row>
    <row r="96" spans="1:11" ht="16.5">
      <c r="A96" s="2">
        <v>46117</v>
      </c>
      <c r="B96" s="14" t="str">
        <f>TEXT(Tabla5[[#This Row],[Fecha]],"MMMM")</f>
        <v>abril</v>
      </c>
      <c r="C96" s="1">
        <v>1094</v>
      </c>
      <c r="D96" s="1" t="s">
        <v>11</v>
      </c>
      <c r="E96" s="1" t="s">
        <v>28</v>
      </c>
      <c r="F96" s="1" t="s">
        <v>17</v>
      </c>
      <c r="G96" s="1" t="s">
        <v>67</v>
      </c>
      <c r="H96" s="1" t="str">
        <f>VLOOKUP(G96, Listas!G:H, 2, FALSE)</f>
        <v>Acompañamientos</v>
      </c>
      <c r="I96" s="1">
        <f>VLOOKUP(G96, Listas!G:I, 3, FALSE)</f>
        <v>2200</v>
      </c>
      <c r="J96" s="1">
        <v>3</v>
      </c>
      <c r="K96" s="8">
        <f t="shared" si="3"/>
        <v>6600</v>
      </c>
    </row>
    <row r="97" spans="1:11" ht="16.5">
      <c r="A97" s="2">
        <v>46118</v>
      </c>
      <c r="B97" s="14" t="str">
        <f>TEXT(Tabla5[[#This Row],[Fecha]],"MMMM")</f>
        <v>abril</v>
      </c>
      <c r="C97" s="1">
        <v>1095</v>
      </c>
      <c r="D97" s="1" t="s">
        <v>21</v>
      </c>
      <c r="E97" s="1" t="s">
        <v>12</v>
      </c>
      <c r="F97" s="1" t="s">
        <v>13</v>
      </c>
      <c r="G97" s="1" t="s">
        <v>27</v>
      </c>
      <c r="H97" s="1" t="str">
        <f>VLOOKUP(G97, Listas!G:H, 2, FALSE)</f>
        <v>Bebidas</v>
      </c>
      <c r="I97" s="1">
        <f>VLOOKUP(G97, Listas!G:I, 3, FALSE)</f>
        <v>2500</v>
      </c>
      <c r="J97" s="1">
        <v>2</v>
      </c>
      <c r="K97" s="8">
        <f t="shared" si="3"/>
        <v>5000</v>
      </c>
    </row>
    <row r="98" spans="1:11" ht="16.5">
      <c r="A98" s="2">
        <v>46119</v>
      </c>
      <c r="B98" s="14" t="str">
        <f>TEXT(Tabla5[[#This Row],[Fecha]],"MMMM")</f>
        <v>abril</v>
      </c>
      <c r="C98" s="1">
        <v>1096</v>
      </c>
      <c r="D98" s="1" t="s">
        <v>11</v>
      </c>
      <c r="E98" s="1" t="s">
        <v>16</v>
      </c>
      <c r="F98" s="1" t="s">
        <v>23</v>
      </c>
      <c r="G98" s="1" t="s">
        <v>18</v>
      </c>
      <c r="H98" s="1" t="str">
        <f>VLOOKUP(G98, Listas!G:H, 2, FALSE)</f>
        <v>Pizza</v>
      </c>
      <c r="I98" s="1">
        <f>VLOOKUP(G98, Listas!G:I, 3, FALSE)</f>
        <v>21000</v>
      </c>
      <c r="J98" s="1">
        <v>4</v>
      </c>
      <c r="K98" s="8">
        <f t="shared" ref="K98:K129" si="4">I98*J98</f>
        <v>84000</v>
      </c>
    </row>
    <row r="99" spans="1:11" ht="16.5">
      <c r="A99" s="2">
        <v>46120</v>
      </c>
      <c r="B99" s="14" t="str">
        <f>TEXT(Tabla5[[#This Row],[Fecha]],"MMMM")</f>
        <v>abril</v>
      </c>
      <c r="C99" s="1">
        <v>1097</v>
      </c>
      <c r="D99" s="1" t="s">
        <v>11</v>
      </c>
      <c r="E99" s="1" t="s">
        <v>22</v>
      </c>
      <c r="F99" s="1" t="s">
        <v>17</v>
      </c>
      <c r="G99" s="1" t="s">
        <v>38</v>
      </c>
      <c r="H99" s="1" t="str">
        <f>VLOOKUP(G99, Listas!G:H, 2, FALSE)</f>
        <v>Pizza</v>
      </c>
      <c r="I99" s="1">
        <f>VLOOKUP(G99, Listas!G:I, 3, FALSE)</f>
        <v>18000</v>
      </c>
      <c r="J99" s="1">
        <v>5</v>
      </c>
      <c r="K99" s="8">
        <f t="shared" si="4"/>
        <v>90000</v>
      </c>
    </row>
    <row r="100" spans="1:11" ht="16.5">
      <c r="A100" s="2">
        <v>46121</v>
      </c>
      <c r="B100" s="14" t="str">
        <f>TEXT(Tabla5[[#This Row],[Fecha]],"MMMM")</f>
        <v>abril</v>
      </c>
      <c r="C100" s="1">
        <v>1098</v>
      </c>
      <c r="D100" s="1" t="s">
        <v>11</v>
      </c>
      <c r="E100" s="1" t="s">
        <v>26</v>
      </c>
      <c r="F100" s="1" t="s">
        <v>13</v>
      </c>
      <c r="G100" s="1" t="s">
        <v>67</v>
      </c>
      <c r="H100" s="1" t="str">
        <f>VLOOKUP(G100, Listas!G:H, 2, FALSE)</f>
        <v>Acompañamientos</v>
      </c>
      <c r="I100" s="1">
        <f>VLOOKUP(G100, Listas!G:I, 3, FALSE)</f>
        <v>2200</v>
      </c>
      <c r="J100" s="1">
        <v>2</v>
      </c>
      <c r="K100" s="8">
        <f t="shared" si="4"/>
        <v>4400</v>
      </c>
    </row>
    <row r="101" spans="1:11" ht="16.5">
      <c r="A101" s="2">
        <v>46122</v>
      </c>
      <c r="B101" s="14" t="str">
        <f>TEXT(Tabla5[[#This Row],[Fecha]],"MMMM")</f>
        <v>abril</v>
      </c>
      <c r="C101" s="1">
        <v>1099</v>
      </c>
      <c r="D101" s="1" t="s">
        <v>11</v>
      </c>
      <c r="E101" s="1" t="s">
        <v>28</v>
      </c>
      <c r="F101" s="1" t="s">
        <v>13</v>
      </c>
      <c r="G101" s="1" t="s">
        <v>61</v>
      </c>
      <c r="H101" s="11" t="str">
        <f>VLOOKUP(G101, Listas!G:H, 2, FALSE)</f>
        <v>Postres</v>
      </c>
      <c r="I101" s="1">
        <f>VLOOKUP(G101, Listas!G:I, 3, FALSE)</f>
        <v>3500</v>
      </c>
      <c r="J101" s="1">
        <v>1</v>
      </c>
      <c r="K101" s="12">
        <f t="shared" ref="K101:K107" si="5">I101*J101</f>
        <v>3500</v>
      </c>
    </row>
    <row r="102" spans="1:11" ht="16.5">
      <c r="A102" s="2">
        <v>46123</v>
      </c>
      <c r="B102" s="14" t="str">
        <f>TEXT(Tabla5[[#This Row],[Fecha]],"MMMM")</f>
        <v>abril</v>
      </c>
      <c r="C102" s="1">
        <v>1100</v>
      </c>
      <c r="D102" s="1" t="s">
        <v>15</v>
      </c>
      <c r="E102" s="1" t="s">
        <v>12</v>
      </c>
      <c r="F102" s="1" t="s">
        <v>23</v>
      </c>
      <c r="G102" s="1" t="s">
        <v>30</v>
      </c>
      <c r="H102" s="11" t="str">
        <f>VLOOKUP(G102, Listas!G:H, 2, FALSE)</f>
        <v>Acompañamientos</v>
      </c>
      <c r="I102" s="1">
        <f>VLOOKUP(G102, Listas!G:I, 3, FALSE)</f>
        <v>2400</v>
      </c>
      <c r="J102" s="1">
        <v>3</v>
      </c>
      <c r="K102" s="12">
        <f t="shared" si="5"/>
        <v>7200</v>
      </c>
    </row>
    <row r="103" spans="1:11" ht="16.5">
      <c r="A103" s="2">
        <v>46124</v>
      </c>
      <c r="B103" s="14" t="str">
        <f>TEXT(Tabla5[[#This Row],[Fecha]],"MMMM")</f>
        <v>abril</v>
      </c>
      <c r="C103" s="1">
        <v>1101</v>
      </c>
      <c r="D103" s="1" t="s">
        <v>21</v>
      </c>
      <c r="E103" s="1" t="s">
        <v>16</v>
      </c>
      <c r="F103" s="1" t="s">
        <v>17</v>
      </c>
      <c r="G103" s="1" t="s">
        <v>67</v>
      </c>
      <c r="H103" s="11" t="str">
        <f>VLOOKUP(G103, Listas!G:H, 2, FALSE)</f>
        <v>Acompañamientos</v>
      </c>
      <c r="I103" s="1">
        <f>VLOOKUP(G103, Listas!G:I, 3, FALSE)</f>
        <v>2200</v>
      </c>
      <c r="J103" s="1">
        <v>4</v>
      </c>
      <c r="K103" s="12">
        <f t="shared" si="5"/>
        <v>8800</v>
      </c>
    </row>
    <row r="104" spans="1:11" ht="16.5">
      <c r="A104" s="2">
        <v>46125</v>
      </c>
      <c r="B104" s="14" t="str">
        <f>TEXT(Tabla5[[#This Row],[Fecha]],"MMMM")</f>
        <v>abril</v>
      </c>
      <c r="C104" s="1">
        <v>1102</v>
      </c>
      <c r="D104" s="1" t="s">
        <v>21</v>
      </c>
      <c r="E104" s="1" t="s">
        <v>22</v>
      </c>
      <c r="F104" s="1" t="s">
        <v>13</v>
      </c>
      <c r="G104" s="1" t="s">
        <v>27</v>
      </c>
      <c r="H104" s="11" t="str">
        <f>VLOOKUP(G104, Listas!G:H, 2, FALSE)</f>
        <v>Bebidas</v>
      </c>
      <c r="I104" s="1">
        <f>VLOOKUP(G104, Listas!G:I, 3, FALSE)</f>
        <v>2500</v>
      </c>
      <c r="J104" s="1">
        <v>3</v>
      </c>
      <c r="K104" s="12">
        <f t="shared" si="5"/>
        <v>7500</v>
      </c>
    </row>
    <row r="105" spans="1:11" ht="16.5">
      <c r="A105" s="2">
        <v>46126</v>
      </c>
      <c r="B105" s="14" t="str">
        <f>TEXT(Tabla5[[#This Row],[Fecha]],"MMMM")</f>
        <v>abril</v>
      </c>
      <c r="C105" s="1">
        <v>1103</v>
      </c>
      <c r="D105" s="1" t="s">
        <v>11</v>
      </c>
      <c r="E105" s="1" t="s">
        <v>26</v>
      </c>
      <c r="F105" s="1" t="s">
        <v>23</v>
      </c>
      <c r="G105" s="1" t="s">
        <v>18</v>
      </c>
      <c r="H105" s="11" t="str">
        <f>VLOOKUP(G105, Listas!G:H, 2, FALSE)</f>
        <v>Pizza</v>
      </c>
      <c r="I105" s="1">
        <f>VLOOKUP(G105, Listas!G:I, 3, FALSE)</f>
        <v>21000</v>
      </c>
      <c r="J105" s="1">
        <v>5</v>
      </c>
      <c r="K105" s="12">
        <f t="shared" si="5"/>
        <v>105000</v>
      </c>
    </row>
    <row r="106" spans="1:11" ht="16.5">
      <c r="A106" s="2">
        <v>46127</v>
      </c>
      <c r="B106" s="14" t="str">
        <f>TEXT(Tabla5[[#This Row],[Fecha]],"MMMM")</f>
        <v>abril</v>
      </c>
      <c r="C106" s="1">
        <v>1104</v>
      </c>
      <c r="D106" s="1" t="s">
        <v>15</v>
      </c>
      <c r="E106" s="1" t="s">
        <v>28</v>
      </c>
      <c r="F106" s="1" t="s">
        <v>17</v>
      </c>
      <c r="G106" s="1" t="s">
        <v>38</v>
      </c>
      <c r="H106" s="11" t="str">
        <f>VLOOKUP(G106, Listas!G:H, 2, FALSE)</f>
        <v>Pizza</v>
      </c>
      <c r="I106" s="1">
        <f>VLOOKUP(G106, Listas!G:I, 3, FALSE)</f>
        <v>18000</v>
      </c>
      <c r="J106" s="1">
        <v>2</v>
      </c>
      <c r="K106" s="12">
        <f t="shared" si="5"/>
        <v>36000</v>
      </c>
    </row>
    <row r="107" spans="1:11" ht="16.5">
      <c r="A107" s="2">
        <v>46128</v>
      </c>
      <c r="B107" s="14" t="str">
        <f>TEXT(Tabla5[[#This Row],[Fecha]],"MMMM")</f>
        <v>abril</v>
      </c>
      <c r="C107" s="1">
        <v>1105</v>
      </c>
      <c r="D107" s="1" t="s">
        <v>11</v>
      </c>
      <c r="E107" s="1" t="s">
        <v>12</v>
      </c>
      <c r="F107" s="1" t="s">
        <v>13</v>
      </c>
      <c r="G107" s="1" t="s">
        <v>67</v>
      </c>
      <c r="H107" s="11" t="str">
        <f>VLOOKUP(G107, Listas!G:H, 2, FALSE)</f>
        <v>Acompañamientos</v>
      </c>
      <c r="I107" s="1">
        <f>VLOOKUP(G107, Listas!G:I, 3, FALSE)</f>
        <v>2200</v>
      </c>
      <c r="J107" s="1">
        <v>3</v>
      </c>
      <c r="K107" s="12">
        <f t="shared" si="5"/>
        <v>6600</v>
      </c>
    </row>
    <row r="108" spans="1:11">
      <c r="A108" s="2">
        <v>46129</v>
      </c>
      <c r="B108" s="6" t="str">
        <f>TEXT(Tabla5[[#This Row],[Fecha]],"MMMM")</f>
        <v>abril</v>
      </c>
      <c r="C108" s="1">
        <v>1106</v>
      </c>
      <c r="D108" s="1" t="s">
        <v>21</v>
      </c>
      <c r="E108" s="1" t="s">
        <v>22</v>
      </c>
      <c r="F108" s="1" t="s">
        <v>29</v>
      </c>
      <c r="G108" s="1" t="s">
        <v>67</v>
      </c>
      <c r="H108" s="11" t="str">
        <f>VLOOKUP(G108, Listas!G:H, 2, FALSE)</f>
        <v>Acompañamientos</v>
      </c>
      <c r="I108" s="1">
        <f>VLOOKUP(G108, Listas!G:I, 3, FALSE)</f>
        <v>2200</v>
      </c>
      <c r="J108" s="1">
        <v>3</v>
      </c>
      <c r="K108" s="12">
        <f>I108*J108</f>
        <v>6600</v>
      </c>
    </row>
    <row r="109" spans="1:11" ht="16.5">
      <c r="A109" s="2">
        <v>46130</v>
      </c>
      <c r="B109" s="14" t="str">
        <f>TEXT(Tabla5[[#This Row],[Fecha]],"MMMM")</f>
        <v>abril</v>
      </c>
      <c r="C109" s="1">
        <v>1107</v>
      </c>
      <c r="D109" s="1" t="s">
        <v>11</v>
      </c>
      <c r="E109" s="1" t="s">
        <v>22</v>
      </c>
      <c r="F109" s="1" t="s">
        <v>13</v>
      </c>
      <c r="G109" s="1" t="s">
        <v>27</v>
      </c>
      <c r="H109" s="11" t="str">
        <f>VLOOKUP(G109, Listas!G:H, 2, FALSE)</f>
        <v>Bebidas</v>
      </c>
      <c r="I109" s="1">
        <f>VLOOKUP(G109, Listas!G:I, 3, FALSE)</f>
        <v>2500</v>
      </c>
      <c r="J109" s="1">
        <v>2</v>
      </c>
      <c r="K109" s="12">
        <f t="shared" ref="K109:K111" si="6">I109*J109</f>
        <v>5000</v>
      </c>
    </row>
    <row r="110" spans="1:11" ht="16.5">
      <c r="A110" s="2">
        <v>46131</v>
      </c>
      <c r="B110" s="14" t="str">
        <f>TEXT(Tabla5[[#This Row],[Fecha]],"MMMM")</f>
        <v>abril</v>
      </c>
      <c r="C110" s="1">
        <v>1108</v>
      </c>
      <c r="D110" s="1" t="s">
        <v>11</v>
      </c>
      <c r="E110" s="1" t="s">
        <v>26</v>
      </c>
      <c r="F110" s="1" t="s">
        <v>23</v>
      </c>
      <c r="G110" s="1" t="s">
        <v>18</v>
      </c>
      <c r="H110" s="11" t="str">
        <f>VLOOKUP(G110, Listas!G:H, 2, FALSE)</f>
        <v>Pizza</v>
      </c>
      <c r="I110" s="1">
        <f>VLOOKUP(G110, Listas!G:I, 3, FALSE)</f>
        <v>21000</v>
      </c>
      <c r="J110" s="1">
        <v>3</v>
      </c>
      <c r="K110" s="12">
        <f t="shared" si="6"/>
        <v>63000</v>
      </c>
    </row>
    <row r="111" spans="1:11" ht="16.5">
      <c r="A111" s="2">
        <v>46132</v>
      </c>
      <c r="B111" s="14" t="str">
        <f>TEXT(Tabla5[[#This Row],[Fecha]],"MMMM")</f>
        <v>abril</v>
      </c>
      <c r="C111" s="1">
        <v>1109</v>
      </c>
      <c r="D111" s="1" t="s">
        <v>11</v>
      </c>
      <c r="E111" s="1" t="s">
        <v>28</v>
      </c>
      <c r="F111" s="1" t="s">
        <v>17</v>
      </c>
      <c r="G111" s="1" t="s">
        <v>38</v>
      </c>
      <c r="H111" s="11" t="str">
        <f>VLOOKUP(G111, Listas!G:H, 2, FALSE)</f>
        <v>Pizza</v>
      </c>
      <c r="I111" s="1">
        <f>VLOOKUP(G111, Listas!G:I, 3, FALSE)</f>
        <v>18000</v>
      </c>
      <c r="J111" s="1">
        <v>2</v>
      </c>
      <c r="K111" s="12">
        <f t="shared" si="6"/>
        <v>36000</v>
      </c>
    </row>
    <row r="114" spans="5:5">
      <c r="E114" s="15"/>
    </row>
  </sheetData>
  <mergeCells count="21">
    <mergeCell ref="S3:U3"/>
    <mergeCell ref="S4:U4"/>
    <mergeCell ref="S6:U6"/>
    <mergeCell ref="S7:U7"/>
    <mergeCell ref="S9:U9"/>
    <mergeCell ref="W6:Y6"/>
    <mergeCell ref="W7:Y7"/>
    <mergeCell ref="AA7:AC7"/>
    <mergeCell ref="AA6:AC6"/>
    <mergeCell ref="W3:Y3"/>
    <mergeCell ref="W4:Y4"/>
    <mergeCell ref="S28:U38"/>
    <mergeCell ref="AA15:AE26"/>
    <mergeCell ref="W28:Y38"/>
    <mergeCell ref="AA28:AE40"/>
    <mergeCell ref="AG9:AH9"/>
    <mergeCell ref="W17:Y26"/>
    <mergeCell ref="S17:U26"/>
    <mergeCell ref="AG24:AH24"/>
    <mergeCell ref="W9:Y9"/>
    <mergeCell ref="AA9:AE9"/>
  </mergeCells>
  <dataValidations count="1">
    <dataValidation allowBlank="1" showInputMessage="1" showErrorMessage="1" sqref="H2:H16" xr:uid="{84ACC080-464F-4E98-AFFD-A14463EC96AE}"/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3255E8F-2884-4C96-82D2-DA9D857E61EE}">
          <x14:formula1>
            <xm:f>Listas!$C$4:$C$6</xm:f>
          </x14:formula1>
          <xm:sqref>D2:D111</xm:sqref>
        </x14:dataValidation>
        <x14:dataValidation type="list" allowBlank="1" showInputMessage="1" showErrorMessage="1" xr:uid="{22EEA09F-6474-4781-9147-AAE6E13DC543}">
          <x14:formula1>
            <xm:f>Listas!$E$4:$E$6</xm:f>
          </x14:formula1>
          <xm:sqref>F2:F111</xm:sqref>
        </x14:dataValidation>
        <x14:dataValidation type="list" allowBlank="1" showInputMessage="1" showErrorMessage="1" xr:uid="{22F9D554-77BD-46B2-A0CD-152A821D4D8B}">
          <x14:formula1>
            <xm:f>Listas!$G$2:$G$5</xm:f>
          </x14:formula1>
          <xm:sqref>H17:H100</xm:sqref>
        </x14:dataValidation>
        <x14:dataValidation type="list" allowBlank="1" showInputMessage="1" showErrorMessage="1" xr:uid="{14B16F66-5981-4F53-BF66-CBAFF6B2B272}">
          <x14:formula1>
            <xm:f>Listas!$G$2:$G$19</xm:f>
          </x14:formula1>
          <xm:sqref>G2:G111</xm:sqref>
        </x14:dataValidation>
        <x14:dataValidation type="list" allowBlank="1" showInputMessage="1" showErrorMessage="1" xr:uid="{A8DDB765-05FB-41A3-B691-470222E9B354}">
          <x14:formula1>
            <xm:f>Listas!$L$2:$L$13</xm:f>
          </x14:formula1>
          <xm:sqref>S4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CB43-46C4-4323-8192-09CEBA05CF42}">
  <dimension ref="C1:Y32"/>
  <sheetViews>
    <sheetView topLeftCell="P1" workbookViewId="0">
      <selection activeCell="X7" sqref="X7:Y25"/>
    </sheetView>
  </sheetViews>
  <sheetFormatPr defaultRowHeight="15"/>
  <cols>
    <col min="3" max="3" width="10" bestFit="1" customWidth="1"/>
    <col min="7" max="7" width="26.42578125" bestFit="1" customWidth="1"/>
    <col min="8" max="8" width="17.140625" bestFit="1" customWidth="1"/>
    <col min="9" max="9" width="19.85546875" bestFit="1" customWidth="1"/>
    <col min="12" max="12" width="10.7109375" bestFit="1" customWidth="1"/>
    <col min="15" max="15" width="4.7109375" customWidth="1"/>
    <col min="16" max="16" width="32.42578125" customWidth="1"/>
    <col min="17" max="17" width="23.5703125" customWidth="1"/>
    <col min="18" max="18" width="26.42578125" customWidth="1"/>
    <col min="19" max="19" width="18.28515625" customWidth="1"/>
    <col min="20" max="20" width="22.5703125" customWidth="1"/>
    <col min="24" max="25" width="24.7109375" bestFit="1" customWidth="1"/>
  </cols>
  <sheetData>
    <row r="1" spans="3:25">
      <c r="G1" t="s">
        <v>6</v>
      </c>
      <c r="H1" t="s">
        <v>39</v>
      </c>
      <c r="I1" t="s">
        <v>72</v>
      </c>
      <c r="L1" s="13" t="s">
        <v>44</v>
      </c>
    </row>
    <row r="2" spans="3:25">
      <c r="G2" t="s">
        <v>14</v>
      </c>
      <c r="H2" t="s">
        <v>73</v>
      </c>
      <c r="I2">
        <v>2800</v>
      </c>
      <c r="L2" s="13" t="s">
        <v>25</v>
      </c>
    </row>
    <row r="3" spans="3:25">
      <c r="C3" t="s">
        <v>3</v>
      </c>
      <c r="E3" t="s">
        <v>74</v>
      </c>
      <c r="G3" t="s">
        <v>38</v>
      </c>
      <c r="H3" t="s">
        <v>73</v>
      </c>
      <c r="I3">
        <v>18000</v>
      </c>
      <c r="L3" s="13" t="s">
        <v>47</v>
      </c>
    </row>
    <row r="4" spans="3:25">
      <c r="C4" t="s">
        <v>11</v>
      </c>
      <c r="E4" t="s">
        <v>66</v>
      </c>
      <c r="G4" t="s">
        <v>18</v>
      </c>
      <c r="H4" t="s">
        <v>73</v>
      </c>
      <c r="I4">
        <v>21000</v>
      </c>
      <c r="L4" s="13" t="s">
        <v>49</v>
      </c>
    </row>
    <row r="5" spans="3:25">
      <c r="C5" t="s">
        <v>15</v>
      </c>
      <c r="E5" t="s">
        <v>29</v>
      </c>
      <c r="G5" t="s">
        <v>46</v>
      </c>
      <c r="H5" t="s">
        <v>73</v>
      </c>
      <c r="I5">
        <v>3000</v>
      </c>
      <c r="L5" s="13" t="s">
        <v>51</v>
      </c>
    </row>
    <row r="6" spans="3:25">
      <c r="C6" t="s">
        <v>21</v>
      </c>
      <c r="E6" t="s">
        <v>23</v>
      </c>
      <c r="G6" t="s">
        <v>34</v>
      </c>
      <c r="H6" t="s">
        <v>73</v>
      </c>
      <c r="I6">
        <v>20000</v>
      </c>
      <c r="L6" s="13" t="s">
        <v>52</v>
      </c>
    </row>
    <row r="7" spans="3:25" ht="21.75">
      <c r="G7" t="s">
        <v>55</v>
      </c>
      <c r="H7" s="10" t="s">
        <v>73</v>
      </c>
      <c r="I7">
        <v>22000</v>
      </c>
      <c r="L7" s="13" t="s">
        <v>53</v>
      </c>
      <c r="P7" s="52" t="s">
        <v>35</v>
      </c>
      <c r="Q7" s="53"/>
      <c r="S7" s="21" t="s">
        <v>75</v>
      </c>
      <c r="T7" t="s">
        <v>76</v>
      </c>
      <c r="X7" t="s">
        <v>6</v>
      </c>
      <c r="Y7" t="s">
        <v>65</v>
      </c>
    </row>
    <row r="8" spans="3:25" ht="37.5">
      <c r="G8" t="s">
        <v>59</v>
      </c>
      <c r="H8" t="s">
        <v>77</v>
      </c>
      <c r="I8">
        <v>2000</v>
      </c>
      <c r="L8" s="13" t="s">
        <v>54</v>
      </c>
      <c r="P8" s="18" t="s">
        <v>44</v>
      </c>
      <c r="Q8" s="19" t="s">
        <v>45</v>
      </c>
      <c r="S8" s="22" t="s">
        <v>16</v>
      </c>
      <c r="T8" s="20">
        <v>9480.9523809523816</v>
      </c>
      <c r="X8" t="s">
        <v>14</v>
      </c>
      <c r="Y8">
        <f>SUMIFS(Tabla5[Cantidad], Tabla5[Mes], $S$4, Tabla5[Producto], "Nombre del Producto")</f>
        <v>0</v>
      </c>
    </row>
    <row r="9" spans="3:25" ht="21.75">
      <c r="G9" t="s">
        <v>30</v>
      </c>
      <c r="H9" t="s">
        <v>77</v>
      </c>
      <c r="I9">
        <v>2400</v>
      </c>
      <c r="L9" s="13" t="s">
        <v>56</v>
      </c>
      <c r="P9" s="18" t="s">
        <v>25</v>
      </c>
      <c r="Q9" s="17">
        <f>SUMIF(Tabla5[Mes], "enero", Tabla5[Total])</f>
        <v>638400</v>
      </c>
      <c r="S9" s="22" t="s">
        <v>26</v>
      </c>
      <c r="T9" s="20">
        <v>8827.2727272727279</v>
      </c>
      <c r="X9" t="s">
        <v>38</v>
      </c>
      <c r="Y9">
        <f>SUMIFS(Tabla5[Cantidad], Tabla5[Mes], $S$4, Tabla5[Producto], "Grande de Muzza")</f>
        <v>0</v>
      </c>
    </row>
    <row r="10" spans="3:25" ht="21.75">
      <c r="G10" t="s">
        <v>64</v>
      </c>
      <c r="H10" t="s">
        <v>77</v>
      </c>
      <c r="I10">
        <v>2200</v>
      </c>
      <c r="L10" s="13" t="s">
        <v>57</v>
      </c>
      <c r="P10" s="18" t="s">
        <v>47</v>
      </c>
      <c r="Q10" s="17">
        <f>SUMIF(Tabla5[Mes], "Febrero", Tabla5[Total])</f>
        <v>565200</v>
      </c>
      <c r="S10" s="22" t="s">
        <v>22</v>
      </c>
      <c r="T10" s="20">
        <v>8717.391304347826</v>
      </c>
      <c r="X10" t="s">
        <v>18</v>
      </c>
    </row>
    <row r="11" spans="3:25" ht="21.75">
      <c r="G11" t="s">
        <v>67</v>
      </c>
      <c r="H11" t="s">
        <v>77</v>
      </c>
      <c r="I11">
        <v>2200</v>
      </c>
      <c r="L11" s="13" t="s">
        <v>58</v>
      </c>
      <c r="P11" s="18" t="s">
        <v>49</v>
      </c>
      <c r="Q11" s="17">
        <f>SUMIF(Tabla5[Mes], "Marzo", Tabla5[Total])</f>
        <v>681400</v>
      </c>
      <c r="S11" s="22" t="s">
        <v>28</v>
      </c>
      <c r="T11" s="20">
        <v>7190.909090909091</v>
      </c>
      <c r="X11" t="s">
        <v>46</v>
      </c>
    </row>
    <row r="12" spans="3:25" ht="21.75">
      <c r="G12" t="s">
        <v>27</v>
      </c>
      <c r="H12" t="s">
        <v>78</v>
      </c>
      <c r="I12">
        <v>2500</v>
      </c>
      <c r="L12" s="13" t="s">
        <v>60</v>
      </c>
      <c r="P12" s="18" t="s">
        <v>51</v>
      </c>
      <c r="Q12" s="17">
        <f>SUMIF(Tabla5[Mes], "Abril", Tabla5[Total])</f>
        <v>623800</v>
      </c>
      <c r="S12" s="22" t="s">
        <v>12</v>
      </c>
      <c r="T12" s="20">
        <v>6554.545454545455</v>
      </c>
      <c r="X12" t="s">
        <v>34</v>
      </c>
    </row>
    <row r="13" spans="3:25" ht="21.75">
      <c r="G13" t="s">
        <v>50</v>
      </c>
      <c r="H13" t="s">
        <v>78</v>
      </c>
      <c r="I13">
        <v>4500</v>
      </c>
      <c r="L13" s="13" t="s">
        <v>62</v>
      </c>
      <c r="P13" s="18" t="s">
        <v>52</v>
      </c>
      <c r="Q13" s="17">
        <f>SUMIF(Tabla5[Mes], "Mayo", Tabla5[Total])</f>
        <v>0</v>
      </c>
      <c r="S13" s="22" t="s">
        <v>79</v>
      </c>
      <c r="T13" s="20">
        <v>8147.272727272727</v>
      </c>
      <c r="X13" t="s">
        <v>55</v>
      </c>
    </row>
    <row r="14" spans="3:25" ht="21.75">
      <c r="G14" t="s">
        <v>24</v>
      </c>
      <c r="H14" t="s">
        <v>78</v>
      </c>
      <c r="I14">
        <v>1800</v>
      </c>
      <c r="P14" s="18" t="s">
        <v>53</v>
      </c>
      <c r="Q14" s="17">
        <f>SUMIF(Tabla5[Mes], "Junio", Tabla5[Total])</f>
        <v>0</v>
      </c>
      <c r="X14" t="s">
        <v>59</v>
      </c>
    </row>
    <row r="15" spans="3:25" ht="21.75">
      <c r="G15" t="s">
        <v>69</v>
      </c>
      <c r="H15" t="s">
        <v>78</v>
      </c>
      <c r="I15">
        <v>8000</v>
      </c>
      <c r="P15" s="18" t="s">
        <v>54</v>
      </c>
      <c r="Q15" s="17">
        <f>SUMIF(Tabla5[Mes], "Julio", Tabla5[Total])</f>
        <v>0</v>
      </c>
      <c r="X15" t="s">
        <v>30</v>
      </c>
    </row>
    <row r="16" spans="3:25" ht="21.75">
      <c r="G16" t="s">
        <v>61</v>
      </c>
      <c r="H16" t="s">
        <v>80</v>
      </c>
      <c r="I16">
        <v>3500</v>
      </c>
      <c r="P16" s="18" t="s">
        <v>56</v>
      </c>
      <c r="Q16" s="17">
        <f>SUMIF(Tabla5[Mes], "Agosto", Tabla5[Total])</f>
        <v>0</v>
      </c>
      <c r="S16" s="21" t="s">
        <v>75</v>
      </c>
      <c r="T16" t="s">
        <v>81</v>
      </c>
      <c r="X16" t="s">
        <v>64</v>
      </c>
    </row>
    <row r="17" spans="7:24" ht="21.75">
      <c r="G17" t="s">
        <v>70</v>
      </c>
      <c r="H17" t="s">
        <v>80</v>
      </c>
      <c r="I17">
        <v>3500</v>
      </c>
      <c r="P17" s="18" t="s">
        <v>57</v>
      </c>
      <c r="Q17" s="17">
        <f>SUMIF(Tabla5[Mes], "Septiembre", Tabla5[Total])</f>
        <v>0</v>
      </c>
      <c r="S17" s="22" t="s">
        <v>46</v>
      </c>
      <c r="T17" s="20">
        <v>4</v>
      </c>
      <c r="X17" t="s">
        <v>67</v>
      </c>
    </row>
    <row r="18" spans="7:24" ht="21.75">
      <c r="G18" t="s">
        <v>48</v>
      </c>
      <c r="H18" t="s">
        <v>80</v>
      </c>
      <c r="I18">
        <v>5500</v>
      </c>
      <c r="P18" s="18" t="s">
        <v>58</v>
      </c>
      <c r="Q18" s="17">
        <f>SUMIF(Tabla5[Mes], "Octubre", Tabla5[Total])</f>
        <v>0</v>
      </c>
      <c r="S18" s="22" t="s">
        <v>14</v>
      </c>
      <c r="T18" s="20">
        <v>3.3333333333333335</v>
      </c>
      <c r="X18" t="s">
        <v>27</v>
      </c>
    </row>
    <row r="19" spans="7:24" ht="21.75">
      <c r="G19" t="s">
        <v>71</v>
      </c>
      <c r="H19" t="s">
        <v>80</v>
      </c>
      <c r="I19">
        <v>5000</v>
      </c>
      <c r="P19" s="18" t="s">
        <v>60</v>
      </c>
      <c r="Q19" s="17">
        <f>SUMIF(Tabla5[Mes], "Noviembre", Tabla5[Total])</f>
        <v>0</v>
      </c>
      <c r="S19" s="22" t="s">
        <v>55</v>
      </c>
      <c r="T19" s="20">
        <v>3</v>
      </c>
      <c r="X19" t="s">
        <v>50</v>
      </c>
    </row>
    <row r="20" spans="7:24" ht="21.75">
      <c r="P20" s="18" t="s">
        <v>62</v>
      </c>
      <c r="Q20" s="17">
        <f>SUMIF(Tabla5[Mes], "Diciembre", Tabla5[Total])</f>
        <v>0</v>
      </c>
      <c r="S20" s="22" t="s">
        <v>18</v>
      </c>
      <c r="T20" s="20">
        <v>2.9499999999999997</v>
      </c>
      <c r="X20" t="s">
        <v>24</v>
      </c>
    </row>
    <row r="21" spans="7:24">
      <c r="S21" s="22" t="s">
        <v>38</v>
      </c>
      <c r="T21" s="20">
        <v>2.9428571428571431</v>
      </c>
      <c r="X21" t="s">
        <v>69</v>
      </c>
    </row>
    <row r="22" spans="7:24">
      <c r="S22" s="22" t="s">
        <v>34</v>
      </c>
      <c r="T22" s="20">
        <v>2.8333333333333335</v>
      </c>
      <c r="X22" t="s">
        <v>61</v>
      </c>
    </row>
    <row r="23" spans="7:24">
      <c r="S23" s="22" t="s">
        <v>30</v>
      </c>
      <c r="T23" s="20">
        <v>2.7</v>
      </c>
      <c r="X23" t="s">
        <v>70</v>
      </c>
    </row>
    <row r="24" spans="7:24">
      <c r="S24" s="22" t="s">
        <v>24</v>
      </c>
      <c r="T24" s="20">
        <v>2.6666666666666665</v>
      </c>
      <c r="X24" t="s">
        <v>48</v>
      </c>
    </row>
    <row r="25" spans="7:24">
      <c r="S25" s="22" t="s">
        <v>67</v>
      </c>
      <c r="T25" s="20">
        <v>2.65</v>
      </c>
      <c r="X25" t="s">
        <v>71</v>
      </c>
    </row>
    <row r="26" spans="7:24">
      <c r="S26" s="22" t="s">
        <v>64</v>
      </c>
      <c r="T26" s="20">
        <v>2.5</v>
      </c>
    </row>
    <row r="27" spans="7:24">
      <c r="S27" s="22" t="s">
        <v>27</v>
      </c>
      <c r="T27" s="20">
        <v>2.1733333333333333</v>
      </c>
    </row>
    <row r="28" spans="7:24">
      <c r="S28" s="22" t="s">
        <v>50</v>
      </c>
      <c r="T28" s="20">
        <v>2</v>
      </c>
    </row>
    <row r="29" spans="7:24">
      <c r="S29" s="22" t="s">
        <v>59</v>
      </c>
      <c r="T29" s="20">
        <v>2</v>
      </c>
    </row>
    <row r="30" spans="7:24">
      <c r="S30" s="22" t="s">
        <v>61</v>
      </c>
      <c r="T30" s="20">
        <v>1.9090909090909092</v>
      </c>
    </row>
    <row r="31" spans="7:24">
      <c r="S31" s="22" t="s">
        <v>48</v>
      </c>
      <c r="T31" s="20">
        <v>1</v>
      </c>
    </row>
    <row r="32" spans="7:24">
      <c r="S32" s="22" t="s">
        <v>79</v>
      </c>
      <c r="T32" s="20">
        <v>2.5654545454545454</v>
      </c>
    </row>
  </sheetData>
  <mergeCells count="1"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2026-02-17T16:14:11Z</dcterms:created>
  <dcterms:modified xsi:type="dcterms:W3CDTF">2026-02-27T15:23:42Z</dcterms:modified>
  <cp:category/>
  <cp:contentStatus/>
</cp:coreProperties>
</file>